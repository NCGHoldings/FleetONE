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360" tabRatio="948"/>
  </bookViews>
  <sheets>
    <sheet name="April Report" sheetId="9" r:id="rId1"/>
    <sheet name="Hire Details" sheetId="1" r:id="rId2"/>
    <sheet name="Sheet1" sheetId="2" r:id="rId3"/>
    <sheet name="Sheet2" sheetId="7" r:id="rId4"/>
    <sheet name="Sheet3" sheetId="8" r:id="rId5"/>
    <sheet name="Sheet5" sheetId="10" r:id="rId6"/>
  </sheets>
  <definedNames>
    <definedName name="_xlnm._FilterDatabase" localSheetId="0" hidden="1">'April Report'!$A$2:$AT$74</definedName>
    <definedName name="_xlnm._FilterDatabase" localSheetId="1" hidden="1">'Hire Details'!$A$3:$AT$1096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<sst xmlns="http://schemas.openxmlformats.org/spreadsheetml/2006/main" count="3461" uniqueCount="1280">
  <si>
    <t>Hire Done Report (01.04.2026-30.04.2026)</t>
  </si>
  <si>
    <t>Quotation Number</t>
  </si>
  <si>
    <t>Cancelled / Completed</t>
  </si>
  <si>
    <t>Hire Month</t>
  </si>
  <si>
    <t>Date</t>
  </si>
  <si>
    <t>Company Name</t>
  </si>
  <si>
    <t>Contacted person</t>
  </si>
  <si>
    <t>Hire Type</t>
  </si>
  <si>
    <t>Customer Name</t>
  </si>
  <si>
    <t>Contact Number</t>
  </si>
  <si>
    <t>Route</t>
  </si>
  <si>
    <t>Type of Bus</t>
  </si>
  <si>
    <t>No of Bus</t>
  </si>
  <si>
    <t>Milage</t>
  </si>
  <si>
    <t>Quotation Amount</t>
  </si>
  <si>
    <t>Invoice number</t>
  </si>
  <si>
    <t>Completed Hires Amount</t>
  </si>
  <si>
    <t>Addi. Cus Requests</t>
  </si>
  <si>
    <t>Number Of Days</t>
  </si>
  <si>
    <t>Bus Number</t>
  </si>
  <si>
    <t>Driver</t>
  </si>
  <si>
    <t>Assistant</t>
  </si>
  <si>
    <t>From</t>
  </si>
  <si>
    <t>To</t>
  </si>
  <si>
    <t>Pick up Time</t>
  </si>
  <si>
    <t>Drop off Time</t>
  </si>
  <si>
    <t>Discount</t>
  </si>
  <si>
    <t>Price After Discount</t>
  </si>
  <si>
    <t>Check In Meter</t>
  </si>
  <si>
    <t>Check out Meter</t>
  </si>
  <si>
    <t>Actual Kilo Meters</t>
  </si>
  <si>
    <t xml:space="preserve"> Charges for Additional distance (Income)</t>
  </si>
  <si>
    <t xml:space="preserve"> Charges for Additional hours (Income)</t>
  </si>
  <si>
    <t>Fuel Cost (Actual)</t>
  </si>
  <si>
    <t>Driver Wages</t>
  </si>
  <si>
    <t>Assistance Wages</t>
  </si>
  <si>
    <t>Driver Meal Allovance</t>
  </si>
  <si>
    <t>Assistance Meal Allovance</t>
  </si>
  <si>
    <t>Maintenance</t>
  </si>
  <si>
    <t>Other (Permit, Highway )</t>
  </si>
  <si>
    <t>Net Income</t>
  </si>
  <si>
    <t>Per Day Total Buses</t>
  </si>
  <si>
    <t>Advance Payment</t>
  </si>
  <si>
    <t>Advanced Payment Date</t>
  </si>
  <si>
    <t>Balance Payment</t>
  </si>
  <si>
    <t>Remark</t>
  </si>
  <si>
    <t>QUO-2026-1473-V1.4</t>
  </si>
  <si>
    <t>Postponed</t>
  </si>
  <si>
    <t>April</t>
  </si>
  <si>
    <t xml:space="preserve">Nalanda college grade 2 </t>
  </si>
  <si>
    <t>Outside</t>
  </si>
  <si>
    <t>Mr.Shalika</t>
  </si>
  <si>
    <t>070 7700 710</t>
  </si>
  <si>
    <t>Nalanda College,Bellanvila,Maliban ,Ratmalana</t>
  </si>
  <si>
    <t>C 12 pro seats 49</t>
  </si>
  <si>
    <t>QUO-2026-1474-v1.2</t>
  </si>
  <si>
    <t xml:space="preserve">Nalanda college 4 </t>
  </si>
  <si>
    <t>0707700710</t>
  </si>
  <si>
    <t>Nalanda college,Kelaniya temple,seethawaka export awissawella,,The colombo ice comapny awissawella,Seethawaka wet zone</t>
  </si>
  <si>
    <t>QUO-2026-1546-v1.1</t>
  </si>
  <si>
    <t>Canceled</t>
  </si>
  <si>
    <t xml:space="preserve">Royal college grade 6 G </t>
  </si>
  <si>
    <t>Ms.Namika</t>
  </si>
  <si>
    <t>076 8261890</t>
  </si>
  <si>
    <t>Royal college,Kaluthara bodiya,Pahiyangala,</t>
  </si>
  <si>
    <t>C12 pro deats 51</t>
  </si>
  <si>
    <t>Royal college</t>
  </si>
  <si>
    <t>Kaluthara</t>
  </si>
  <si>
    <t>6.00 a.m</t>
  </si>
  <si>
    <t>7.00 p.m</t>
  </si>
  <si>
    <t>QUO-2026-1546-v1.2</t>
  </si>
  <si>
    <t xml:space="preserve">Royal college GRADE 6 N </t>
  </si>
  <si>
    <t xml:space="preserve">C9 </t>
  </si>
  <si>
    <t>7.00 a.m</t>
  </si>
  <si>
    <t>QUO-2026-1461-v1.1</t>
  </si>
  <si>
    <t>Royal college Grade 7 M</t>
  </si>
  <si>
    <t>Mr.Sampath Adikari</t>
  </si>
  <si>
    <t>Royal college,sumana saman dewalaya,Batadoba lena,Rathnapura gems</t>
  </si>
  <si>
    <t>12 pro seats 51</t>
  </si>
  <si>
    <t>sumana saman dewalaya</t>
  </si>
  <si>
    <t>5.00 a.m</t>
  </si>
  <si>
    <t>8.00 a.m</t>
  </si>
  <si>
    <t>Ms.Darshi Refunded his advance 60000</t>
  </si>
  <si>
    <t>QUO-2026-1642-v1.0</t>
  </si>
  <si>
    <t>Completed</t>
  </si>
  <si>
    <t>Lyceum International School - Kurunegala</t>
  </si>
  <si>
    <t>Inside</t>
  </si>
  <si>
    <t>Mr.Prabodha Gamlath</t>
  </si>
  <si>
    <t>0711564440</t>
  </si>
  <si>
    <t>Lyceum International School - Kurunegala/Provincial Council Auditorium,  Kurunegala / Lyceum International School - Kurunegala</t>
  </si>
  <si>
    <t>Leyland</t>
  </si>
  <si>
    <t>Provincial Council Auditorium,  Kurunegala</t>
  </si>
  <si>
    <t>12.30 p.m</t>
  </si>
  <si>
    <t xml:space="preserve">QUO-2026-1476-v1.0 </t>
  </si>
  <si>
    <t xml:space="preserve">Royal college 7 D </t>
  </si>
  <si>
    <t>Mr.Raj</t>
  </si>
  <si>
    <t>Royal college,Rathnapura,Royal college</t>
  </si>
  <si>
    <t>C 12 pro seats49</t>
  </si>
  <si>
    <t>Rathnapura</t>
  </si>
  <si>
    <t>5.30 a.m</t>
  </si>
  <si>
    <t>6.30 a.m</t>
  </si>
  <si>
    <t xml:space="preserve">QUO-2026-1741-v1.0 </t>
  </si>
  <si>
    <t xml:space="preserve">April </t>
  </si>
  <si>
    <t>03,04/04/2026</t>
  </si>
  <si>
    <t>Trinity college</t>
  </si>
  <si>
    <t>Ruwan Buwanekabahu</t>
  </si>
  <si>
    <t>Mr.Lalith</t>
  </si>
  <si>
    <t>0714877118</t>
  </si>
  <si>
    <t>Trinity college kandy / Havelock city / Royal Sport complex / Royal college sport complex / Thurstan college swimming pool / Havelock city / Sugathadasa stadium / Trinity college</t>
  </si>
  <si>
    <t>51 seats C 12 pro</t>
  </si>
  <si>
    <t>NI 8225</t>
  </si>
  <si>
    <t>Gamini</t>
  </si>
  <si>
    <t>Ruwan</t>
  </si>
  <si>
    <t>Sugathadasa staduim</t>
  </si>
  <si>
    <t>10.00 p.m</t>
  </si>
  <si>
    <t>Mar/31/2026</t>
  </si>
  <si>
    <t>Full payment done</t>
  </si>
  <si>
    <t>QUO-2026-1484-V1.2</t>
  </si>
  <si>
    <t>personal</t>
  </si>
  <si>
    <t>Sinali</t>
  </si>
  <si>
    <t>Mr.Bandula</t>
  </si>
  <si>
    <t>RamBay sweeet home,49A pothuarawa Rd,Malabe,Sri lanka</t>
  </si>
  <si>
    <t>D7</t>
  </si>
  <si>
    <t>NG 8254</t>
  </si>
  <si>
    <t>Darshana</t>
  </si>
  <si>
    <t>RamAbey Sweet home,malabe</t>
  </si>
  <si>
    <t>Wijayaholiday resort</t>
  </si>
  <si>
    <t>6.30 p.m</t>
  </si>
  <si>
    <t>QUO-2026-1402-v1.0</t>
  </si>
  <si>
    <t>03,04/4/2026</t>
  </si>
  <si>
    <t>George Steuart Health PVT</t>
  </si>
  <si>
    <t>Ruwan 1</t>
  </si>
  <si>
    <t>Mr.Namal Herath</t>
  </si>
  <si>
    <t>0772346099</t>
  </si>
  <si>
    <t>George Steuart Health PVT Dehiwala mount lavinia / Dabulla / Anuradapura , Ruwanwali maha saya/Mihinthale/George Steuart Health PVT Dehiwala mount lavinia</t>
  </si>
  <si>
    <t>C 12 pro seats 51</t>
  </si>
  <si>
    <t>NI 8227</t>
  </si>
  <si>
    <t>Buddika
0779401201</t>
  </si>
  <si>
    <t>Dammika</t>
  </si>
  <si>
    <t>George Steuart Health PVT Dehiwala mount lavinia</t>
  </si>
  <si>
    <t>Dabulla Anuradapura</t>
  </si>
  <si>
    <t>5.00 p.m</t>
  </si>
  <si>
    <t>Mar/24/2026</t>
  </si>
  <si>
    <t>QUO-2026-1763-v1.0</t>
  </si>
  <si>
    <t>Lyceum International School - Nugegoda</t>
  </si>
  <si>
    <t>Ms.Udeshika</t>
  </si>
  <si>
    <t>0769665733</t>
  </si>
  <si>
    <t>Lyceum International School - Nugegoda/St.Thomas college/Lyceum International School - Nugegoda</t>
  </si>
  <si>
    <t>NE 4788 NE 4789</t>
  </si>
  <si>
    <t xml:space="preserve">Nissanka
Anurudda
</t>
  </si>
  <si>
    <t>QUO-2026-1760-v1.1</t>
  </si>
  <si>
    <t>Heracle Holdings</t>
  </si>
  <si>
    <t>Mr.Komalan</t>
  </si>
  <si>
    <t>Heracle Holdings/Heracle adventure park millewa/Heracle holdings</t>
  </si>
  <si>
    <t>8.30 a.m</t>
  </si>
  <si>
    <t>5.30 p.m</t>
  </si>
  <si>
    <t>April/03/2026</t>
  </si>
  <si>
    <t>QUO-2026-1657-v1.0</t>
  </si>
  <si>
    <t>Lyceum International School -Awissawella</t>
  </si>
  <si>
    <t>Ms.Navoda Ganepalla</t>
  </si>
  <si>
    <t>0702165498</t>
  </si>
  <si>
    <t>Lyceum International School -Awissawella / Sugathadasa Indoor staduim</t>
  </si>
  <si>
    <t>QUO-2026-1451v1.5</t>
  </si>
  <si>
    <t>04,05/04/2026</t>
  </si>
  <si>
    <t>Sky lines Travels pvt</t>
  </si>
  <si>
    <t>Mr.Udeni</t>
  </si>
  <si>
    <t>0777370218</t>
  </si>
  <si>
    <t>Negombo /KKS</t>
  </si>
  <si>
    <t>C12pro seats 51</t>
  </si>
  <si>
    <t>NE 8226 , NI 8227</t>
  </si>
  <si>
    <t>Saman,Sanjeewa</t>
  </si>
  <si>
    <t>,Upul</t>
  </si>
  <si>
    <t>Negombo</t>
  </si>
  <si>
    <t>KKS</t>
  </si>
  <si>
    <t>10.30 p.m</t>
  </si>
  <si>
    <t>Mar/11/2026</t>
  </si>
  <si>
    <t>QUO-2026-1451-v1.4</t>
  </si>
  <si>
    <t>05,06/04/2026</t>
  </si>
  <si>
    <t>NI 8225 , NI 8242 , NG 8240</t>
  </si>
  <si>
    <t>Gamini , S gamini , Sampath</t>
  </si>
  <si>
    <t>Ruwan , Manuka , Herath</t>
  </si>
  <si>
    <t>QUO-2026-1641-v1.0</t>
  </si>
  <si>
    <t>Print world alpha</t>
  </si>
  <si>
    <t>Mr.Shalaka</t>
  </si>
  <si>
    <t>0773779082</t>
  </si>
  <si>
    <t>Piliyandala / Laya beach hotel wadduwa</t>
  </si>
  <si>
    <t>NG 8257</t>
  </si>
  <si>
    <t xml:space="preserve">Nissanka
</t>
  </si>
  <si>
    <t>Piliyanda</t>
  </si>
  <si>
    <t>Wadduwa laya beach hotel</t>
  </si>
  <si>
    <t>6.00  p.m</t>
  </si>
  <si>
    <t>QUO-2026-1725-v1.1</t>
  </si>
  <si>
    <t>06,07/04/2026</t>
  </si>
  <si>
    <t xml:space="preserve">Lyceum International School - Nugegoda </t>
  </si>
  <si>
    <t>Mr.Harsha brabath</t>
  </si>
  <si>
    <t>0750594369</t>
  </si>
  <si>
    <t>Lyceum International School - Nugegoda  / Sir John Kothalawala college kurunagala</t>
  </si>
  <si>
    <t xml:space="preserve">Darshana
</t>
  </si>
  <si>
    <t>Sir john kothalawala college kurunagala</t>
  </si>
  <si>
    <t>8.00  p.m</t>
  </si>
  <si>
    <t>QUO-2026-1350-v1.0</t>
  </si>
  <si>
    <t>LWA</t>
  </si>
  <si>
    <t>Tr. Siva</t>
  </si>
  <si>
    <t>Normal way</t>
  </si>
  <si>
    <t>Pintanna Estate, Hotel Sekku Villa</t>
  </si>
  <si>
    <t>06.00 AM</t>
  </si>
  <si>
    <t>06.00 PM</t>
  </si>
  <si>
    <t>QUO-2026-1242-v1.0</t>
  </si>
  <si>
    <t>St Joseph's Convent school, Kegalle (Fuel )</t>
  </si>
  <si>
    <t>Mr. Sanjeewa</t>
  </si>
  <si>
    <t>766974242, 716281678 (Whatsapp)</t>
  </si>
  <si>
    <t>St Joseph's Convent - Primary, Kegalle / Kegalla / St Joseph's Convent - Primary, Kegalle</t>
  </si>
  <si>
    <t>C12 Pro</t>
  </si>
  <si>
    <t>St Joseph's Convent - Primary, Kegalle</t>
  </si>
  <si>
    <t>Kalpitiya</t>
  </si>
  <si>
    <t>QUO-2026-1637-v1.1</t>
  </si>
  <si>
    <t>09,10/04/2026</t>
  </si>
  <si>
    <t>Tasty Cateres</t>
  </si>
  <si>
    <t>Mr.Mafas</t>
  </si>
  <si>
    <t>0768128198</t>
  </si>
  <si>
    <t>Nugegoda Kandy / Heritance Ahungalla / Nugegoda Kandy</t>
  </si>
  <si>
    <t>Kandy nugegoda</t>
  </si>
  <si>
    <t>Heritance Ahungalla</t>
  </si>
  <si>
    <t>6.00 p.m</t>
  </si>
  <si>
    <t>QUO-2026-1634-v1.1</t>
  </si>
  <si>
    <t>9,11/04/2026</t>
  </si>
  <si>
    <t>Tasty cateres fife road colombo/Araliya beach rosort &amp; spa Unawatuna / Tasty cateres fife road colombo</t>
  </si>
  <si>
    <t xml:space="preserve">C 12 pro seats 49 </t>
  </si>
  <si>
    <t>NI 8228 , NI 8227</t>
  </si>
  <si>
    <t xml:space="preserve">Eranda , Saman
</t>
  </si>
  <si>
    <t xml:space="preserve">Dammika ,Upul
 </t>
  </si>
  <si>
    <t>Tasty cateres Fife road colombo</t>
  </si>
  <si>
    <t>Unawatuna Araliya beach and resort</t>
  </si>
  <si>
    <t>Mar/27/2026</t>
  </si>
  <si>
    <t>QUO-2026-1638-v1.1</t>
  </si>
  <si>
    <t>9,10 / 04/2026</t>
  </si>
  <si>
    <t xml:space="preserve">Cafe on th 5th , colombo 3 / Madu ganga / </t>
  </si>
  <si>
    <t>NI 8242</t>
  </si>
  <si>
    <t>Sadaruwan</t>
  </si>
  <si>
    <t>April/1/2026</t>
  </si>
  <si>
    <t>QUO-2026-1640-v1.1</t>
  </si>
  <si>
    <t>9,10/04/2026</t>
  </si>
  <si>
    <t>No cafe tasty pitakotte /Avani Kaluthara resort/Tasty catares</t>
  </si>
  <si>
    <t>Jayarathna</t>
  </si>
  <si>
    <t>Kaluthara awani resort</t>
  </si>
  <si>
    <t>QUO-2026-1832-v1.0</t>
  </si>
  <si>
    <t>9/10/11/04/2026</t>
  </si>
  <si>
    <t>Tasty cateres</t>
  </si>
  <si>
    <t>Pinnaduwa exit/Shangri-La Colombo, 2, 1 Colombo - Galle - Hambantota/Tasty cateres</t>
  </si>
  <si>
    <t>C12 pro seats 49</t>
  </si>
  <si>
    <t>NE 8226</t>
  </si>
  <si>
    <t>Saliya</t>
  </si>
  <si>
    <t>Pasidu</t>
  </si>
  <si>
    <t>12.00 p.m</t>
  </si>
  <si>
    <t>April/14/2026</t>
  </si>
  <si>
    <t>QUO-2026-1828-v1.0</t>
  </si>
  <si>
    <t>Mr.Kithsiri</t>
  </si>
  <si>
    <t>0779052630</t>
  </si>
  <si>
    <t>Colombo bandaranayake airport/Serendip Stone Bungalow &amp; Hotel, Old Teldeniya Rd, Nattarampota, Sri Lanka</t>
  </si>
  <si>
    <t>C12 pro seats 51</t>
  </si>
  <si>
    <t>NI 8280</t>
  </si>
  <si>
    <t>Sanjeewa</t>
  </si>
  <si>
    <t>April/08/2026</t>
  </si>
  <si>
    <t>QUO-2026-1829-v1.0</t>
  </si>
  <si>
    <t>11.30 p.m</t>
  </si>
  <si>
    <t>QUO-2026-1729-v1.1</t>
  </si>
  <si>
    <t>Personal</t>
  </si>
  <si>
    <t>Mr. Indika</t>
  </si>
  <si>
    <t>Mr.lashan Widevision</t>
  </si>
  <si>
    <t>0773378949</t>
  </si>
  <si>
    <t>Makubura / Ampara</t>
  </si>
  <si>
    <t>NE 2151</t>
  </si>
  <si>
    <t>Darshana Srimal</t>
  </si>
  <si>
    <t>Arunakula</t>
  </si>
  <si>
    <t>7 a.m</t>
  </si>
  <si>
    <t>23.00 p.m</t>
  </si>
  <si>
    <t>April/10/2026</t>
  </si>
  <si>
    <t>QUO-2026-1729-v1.2</t>
  </si>
  <si>
    <t>Makubura / Badulla</t>
  </si>
  <si>
    <t>NE 2157</t>
  </si>
  <si>
    <t>Tharindu</t>
  </si>
  <si>
    <t>Chaminda</t>
  </si>
  <si>
    <t>23 p.m</t>
  </si>
  <si>
    <t>QUO-2026-1731-v1.2</t>
  </si>
  <si>
    <t>Makubura / Hambanthota</t>
  </si>
  <si>
    <t>NE 2158</t>
  </si>
  <si>
    <t>Srimal</t>
  </si>
  <si>
    <t>Priyantha</t>
  </si>
  <si>
    <t>QUO-2026-1732-v1.1</t>
  </si>
  <si>
    <t>Makubura / Polonnaruwa</t>
  </si>
  <si>
    <t>NE 2148</t>
  </si>
  <si>
    <t>Neel</t>
  </si>
  <si>
    <t>Prasanna</t>
  </si>
  <si>
    <t>QUO-2026-1733-v1.1</t>
  </si>
  <si>
    <t>Makubura / Kegalla</t>
  </si>
  <si>
    <t>NE 2153</t>
  </si>
  <si>
    <t xml:space="preserve">Sameera </t>
  </si>
  <si>
    <t>Kavindu</t>
  </si>
  <si>
    <t>QUO-2026-1842-v1.0</t>
  </si>
  <si>
    <t>Delmege Forsyth &amp; Co. Ltd</t>
  </si>
  <si>
    <t>Mr.Sameera</t>
  </si>
  <si>
    <t>0769354947</t>
  </si>
  <si>
    <t>HNB Tower/House of fashion</t>
  </si>
  <si>
    <t>C 9</t>
  </si>
  <si>
    <t>NI 8252</t>
  </si>
  <si>
    <t>Saman</t>
  </si>
  <si>
    <t>QUO-2026-1467 V1.3</t>
  </si>
  <si>
    <t>11,12,13/04/2026</t>
  </si>
  <si>
    <t>Mr.N.L.Jaufer</t>
  </si>
  <si>
    <t xml:space="preserve">Kawdana road,Dehiwala mount Lavinia/Birds resort-hambanthota </t>
  </si>
  <si>
    <t>NI 8257</t>
  </si>
  <si>
    <t>Anurudda</t>
  </si>
  <si>
    <t>18 Kawdana road,Dehiwala mount lavinia</t>
  </si>
  <si>
    <t>Birds resort hambanthota</t>
  </si>
  <si>
    <t>12.00p.m</t>
  </si>
  <si>
    <t>He paid 120000 as balance payment</t>
  </si>
  <si>
    <t>QUO-2026-1570-v1.0</t>
  </si>
  <si>
    <t>12,14/04/2026</t>
  </si>
  <si>
    <t>Ms.Yashoda</t>
  </si>
  <si>
    <t>0743821615</t>
  </si>
  <si>
    <t>Ragama / Nuwaraeliya / Hortan plains / Ragama</t>
  </si>
  <si>
    <t>Ragama</t>
  </si>
  <si>
    <t>nuwaraeliya</t>
  </si>
  <si>
    <t xml:space="preserve">6.00 a.m </t>
  </si>
  <si>
    <t>Mar/19/2026</t>
  </si>
  <si>
    <t>Fullpayment done</t>
  </si>
  <si>
    <t>QUO-2026-1542</t>
  </si>
  <si>
    <t>13,14,15,16 / 04 / 2026</t>
  </si>
  <si>
    <t>0706188873</t>
  </si>
  <si>
    <t>Boralesgamuwa / Monaragala / Panama</t>
  </si>
  <si>
    <t>NG 8255</t>
  </si>
  <si>
    <t>Wasantha</t>
  </si>
  <si>
    <t>Boralesgamuwa</t>
  </si>
  <si>
    <t>Panama</t>
  </si>
  <si>
    <t>Mar/14/2026</t>
  </si>
  <si>
    <t>QUO-2026-0549-v1.2</t>
  </si>
  <si>
    <t>18,19,20/04/2026</t>
  </si>
  <si>
    <t>University of Colombo</t>
  </si>
  <si>
    <t>Mr. Jagath Ranawaka (Contact - Mr. Imesh)</t>
  </si>
  <si>
    <t xml:space="preserve">
077 302 9380</t>
  </si>
  <si>
    <t>Faculty of science, colombo campus / Kynrock Hotels &amp; Resorts Kataragama / Faculty of science, colombo campus</t>
  </si>
  <si>
    <t>This trip is organsed as part of our 50 th anniversary celebrations  of 1976 University of colombo batch mates .
Seat 49 bus x 2 (Should be same model as Double glass)
Seat belts, cooling box, AC, Music, TV, Mic</t>
  </si>
  <si>
    <t>NI 8228 , NI 8242</t>
  </si>
  <si>
    <t>Eranda , Sadaruwan</t>
  </si>
  <si>
    <t>Manuka , Ruwan</t>
  </si>
  <si>
    <t>Faculty of science, colombo campus</t>
  </si>
  <si>
    <t>Kynrock Hotels &amp; Resorts Kataragama</t>
  </si>
  <si>
    <t>QUO-2026-1627-v1.2</t>
  </si>
  <si>
    <t>18,19/04/2026</t>
  </si>
  <si>
    <t>Treinetic pvt ltd</t>
  </si>
  <si>
    <t>Ruwan buwanekabahu</t>
  </si>
  <si>
    <t>Mr.Mashief</t>
  </si>
  <si>
    <t>0764171391</t>
  </si>
  <si>
    <t>Koswatta bus station/Hotel ahungalla/Koswatta bus station</t>
  </si>
  <si>
    <t>C12pro</t>
  </si>
  <si>
    <t>Nilanga</t>
  </si>
  <si>
    <t xml:space="preserve">Koswatta Bus station </t>
  </si>
  <si>
    <t>Hotel ahungalla</t>
  </si>
  <si>
    <t>9.00 a.m</t>
  </si>
  <si>
    <t>Mar/26/2026</t>
  </si>
  <si>
    <t>QUO-2026-1837-v1.0</t>
  </si>
  <si>
    <t>19,20/04/2026</t>
  </si>
  <si>
    <t>Midland Entertainment</t>
  </si>
  <si>
    <t>Mr.Parindu herath</t>
  </si>
  <si>
    <t>0760000991</t>
  </si>
  <si>
    <t>Keells kottawa / Nuwara eliya</t>
  </si>
  <si>
    <t>QUO-2026-1533-v1.0</t>
  </si>
  <si>
    <t>04/20/2026</t>
  </si>
  <si>
    <t>Ms. Harshini Perera</t>
  </si>
  <si>
    <t>077 342 5216</t>
  </si>
  <si>
    <t>LNU - Panda Pharmacy, Wattala - LNU</t>
  </si>
  <si>
    <t>LNU</t>
  </si>
  <si>
    <t>Panda Pharmacy, Wattala</t>
  </si>
  <si>
    <t>08.30 AM</t>
  </si>
  <si>
    <t>04.00 PM</t>
  </si>
  <si>
    <t>QUO-2026-1535-v1.0</t>
  </si>
  <si>
    <t>NG 8240</t>
  </si>
  <si>
    <t>Kumara 0776282530</t>
  </si>
  <si>
    <t>QUO-2026-1671-1.1</t>
  </si>
  <si>
    <t>Mr.Mohomad</t>
  </si>
  <si>
    <t>‭(070) 208 0763‬</t>
  </si>
  <si>
    <t xml:space="preserve">colombo bandaranayake international airport / beruwala </t>
  </si>
  <si>
    <t>NI 8224</t>
  </si>
  <si>
    <t>Bandaranayaka airport</t>
  </si>
  <si>
    <t>beruwala</t>
  </si>
  <si>
    <t>11 a.m</t>
  </si>
  <si>
    <t>4.p.m</t>
  </si>
  <si>
    <t>April/12/2026</t>
  </si>
  <si>
    <t>QUO-2026-1721-v1.0</t>
  </si>
  <si>
    <t>Confirmed</t>
  </si>
  <si>
    <t>20,22/04/2026</t>
  </si>
  <si>
    <t>Mr.Thusitha</t>
  </si>
  <si>
    <t>0714158723</t>
  </si>
  <si>
    <t>Rathnapura / Mandaram nuwara / Nuwara eliya / Rathnapura</t>
  </si>
  <si>
    <t>Mandaram nuwara and nuwaraeliya</t>
  </si>
  <si>
    <t>paid advance 140000</t>
  </si>
  <si>
    <t>QUO-2026-1889-v1.0</t>
  </si>
  <si>
    <t xml:space="preserve">Ms. no name </t>
  </si>
  <si>
    <t>0762278989</t>
  </si>
  <si>
    <t>Ella / Bandaranayake airport</t>
  </si>
  <si>
    <t>c 12 PRO</t>
  </si>
  <si>
    <t xml:space="preserve">NE 2520 NI 8227 NE 8226
</t>
  </si>
  <si>
    <t>Anurudda , saliya , saman</t>
  </si>
  <si>
    <t>ELLA</t>
  </si>
  <si>
    <t>Airport</t>
  </si>
  <si>
    <t>5.30 A.M</t>
  </si>
  <si>
    <t>5.00 P.M</t>
  </si>
  <si>
    <t>QUO-2026-1876-V1.0</t>
  </si>
  <si>
    <t>20,26/04/2026</t>
  </si>
  <si>
    <t>Mr.Prabath ediridinghe</t>
  </si>
  <si>
    <t>0703777999</t>
  </si>
  <si>
    <t xml:space="preserve">Colombo Bandaranaike International Airport / colombo / kandy /airport / papiliyana / airport / katharagama /galle colombo </t>
  </si>
  <si>
    <t>NE 8252</t>
  </si>
  <si>
    <t>Kithsiri</t>
  </si>
  <si>
    <t>Upul</t>
  </si>
  <si>
    <t>April / 14/2026</t>
  </si>
  <si>
    <t>QUO-2026-1865-v1.1</t>
  </si>
  <si>
    <t>Mr.Chanaka</t>
  </si>
  <si>
    <t>0776530121</t>
  </si>
  <si>
    <t>Katunayaka airport / Rajagiriya</t>
  </si>
  <si>
    <t>c12pro seats 49</t>
  </si>
  <si>
    <t>Saman - 0776757979</t>
  </si>
  <si>
    <t>Hasintha</t>
  </si>
  <si>
    <t>9.00 p.m</t>
  </si>
  <si>
    <t>11.00 p.m</t>
  </si>
  <si>
    <t>April/16/2026</t>
  </si>
  <si>
    <t>FOC</t>
  </si>
  <si>
    <t>QUO-2026-1672-v1.2</t>
  </si>
  <si>
    <t>Beruwala / kandy</t>
  </si>
  <si>
    <t>1.a.m</t>
  </si>
  <si>
    <t>11.00 a.m</t>
  </si>
  <si>
    <t>QUO-2026-1864-v1.2</t>
  </si>
  <si>
    <t>Rusala media networks</t>
  </si>
  <si>
    <t>Mr.Mudannayaka</t>
  </si>
  <si>
    <t>0761368121</t>
  </si>
  <si>
    <t>Kalalgoda / Royal Palm beach hotel kaluthara</t>
  </si>
  <si>
    <t>C12pro seats51</t>
  </si>
  <si>
    <t>Kalalgoda</t>
  </si>
  <si>
    <t>7.30 A.M</t>
  </si>
  <si>
    <t>April/21/2026</t>
  </si>
  <si>
    <t>QUO-2026-1666-v1.0</t>
  </si>
  <si>
    <t>Mr.vimukthi</t>
  </si>
  <si>
    <t>Colombo 3 / Cocoloco Gardens, 179/2 Sambodhi Mawatha, Polgasowita / Colombo 3</t>
  </si>
  <si>
    <t>Colombo</t>
  </si>
  <si>
    <t>Cocoloco Gardens , polgasowita</t>
  </si>
  <si>
    <t>April/09/2026</t>
  </si>
  <si>
    <t>QUO-2026-1680-v1.1</t>
  </si>
  <si>
    <t>24/04/2026 - 03/05/2026</t>
  </si>
  <si>
    <t>Mr.Sakuna Nethraga</t>
  </si>
  <si>
    <t>0710132248</t>
  </si>
  <si>
    <t>Bandaranayake airport / puththalam / Anuradapura / Knuckles Forest Reserve / Hanthana Sandagiri Maha Seya / Kandy / bibile nuwaraeliya / Rekawa / kanneliya / airport</t>
  </si>
  <si>
    <t xml:space="preserve">12 p.m </t>
  </si>
  <si>
    <t>4.00 p.m</t>
  </si>
  <si>
    <t>200,725.30 (642.06 USD)</t>
  </si>
  <si>
    <t>QUO-2026-1815-v-1.1</t>
  </si>
  <si>
    <t>Seylan Development PLC</t>
  </si>
  <si>
    <t>Ruwnan Buwanekabahu</t>
  </si>
  <si>
    <t>Mr.Kanishka</t>
  </si>
  <si>
    <t>seylan tower colombo / maharagama / makumbura / wethara / pokunuwita / seylan tower  / seylan tower colomb</t>
  </si>
  <si>
    <t>April/17/2026</t>
  </si>
  <si>
    <t>QUO-2026-1712-v1.0</t>
  </si>
  <si>
    <t>Mr.Mahagedara</t>
  </si>
  <si>
    <t>0764414431</t>
  </si>
  <si>
    <t>Pelmadulla / Ape Gama, New Parliament Road, Battaramulla / Pelmadulla</t>
  </si>
  <si>
    <t>2.00 p.m</t>
  </si>
  <si>
    <t>4.00 a.m</t>
  </si>
  <si>
    <t>QUO-2026-1867-v1.0</t>
  </si>
  <si>
    <t>Mr.Ishara</t>
  </si>
  <si>
    <t xml:space="preserve">Boralesgamuwa lake , maharagama / Negombo / boralesgamuva lake </t>
  </si>
  <si>
    <t>C 12 pro seats51</t>
  </si>
  <si>
    <t>April/18/2025</t>
  </si>
  <si>
    <t>QUO-2026-1793-V1.0</t>
  </si>
  <si>
    <t>No name</t>
  </si>
  <si>
    <t>Colombo 4 / Awissawella / Colombo 4</t>
  </si>
  <si>
    <t>leyland</t>
  </si>
  <si>
    <t>8.30 p.m</t>
  </si>
  <si>
    <t>April/27/2025</t>
  </si>
  <si>
    <t>QUO-2026-1674-v1.0</t>
  </si>
  <si>
    <t>0702080763</t>
  </si>
  <si>
    <t>Kandy / Kalmunai beach</t>
  </si>
  <si>
    <t>11.00 A.M</t>
  </si>
  <si>
    <t>4.00 P.M</t>
  </si>
  <si>
    <t>QUO-2026-1895-v1.0</t>
  </si>
  <si>
    <t>May</t>
  </si>
  <si>
    <t>01,02,03/05/2026</t>
  </si>
  <si>
    <t>Akbar Brothers</t>
  </si>
  <si>
    <t>Mr.Ravi</t>
  </si>
  <si>
    <t>Colombo 7 /  Trincomalee / Colombo 7</t>
  </si>
  <si>
    <t>QUO-2026-1783-v1.0</t>
  </si>
  <si>
    <t>Mr.Nazeem</t>
  </si>
  <si>
    <t>0773223191</t>
  </si>
  <si>
    <t>Kanzul sport’s complex, Warana Rd, Kalagedihena / Rathnapura Town / Kanzul sport’s complex, Warana Rd, Kalagedihena</t>
  </si>
  <si>
    <t>51 seats C12pro</t>
  </si>
  <si>
    <t>QUO-2026-1784-v1.1</t>
  </si>
  <si>
    <t>Kanzul sport’s complex, Warana Rd, Kalagedihena / KurunagalaTown / Kanzul sport’s complex, Warana Rd, Kalagedihena</t>
  </si>
  <si>
    <t>QUO-2026-1178-v1.3</t>
  </si>
  <si>
    <t>02,03/05/2026</t>
  </si>
  <si>
    <t xml:space="preserve">
University of Moratuwa</t>
  </si>
  <si>
    <t>Mr. Isuru</t>
  </si>
  <si>
    <t>071 212 1667</t>
  </si>
  <si>
    <t>University of Moratuwa / Balapitiya / Cinnomon Bay Beruwala. / University of Moratuwa</t>
  </si>
  <si>
    <t>Customer came to office and paid</t>
  </si>
  <si>
    <t>QUO-2026-1621-v1.1</t>
  </si>
  <si>
    <t>2,3/05/2026</t>
  </si>
  <si>
    <t>Himansha</t>
  </si>
  <si>
    <t>Dr.Vinodini (NIKITHA SIR'S REQUEST)</t>
  </si>
  <si>
    <t>0777715820</t>
  </si>
  <si>
    <t>National Hospital Colombo / The Golden Crown Hotel, Ampitiya Road, Kandy / Hunnasgiriya / National hospital</t>
  </si>
  <si>
    <t>C12pro 51</t>
  </si>
  <si>
    <t>Colombo National hospital</t>
  </si>
  <si>
    <t>Mar/25/2026</t>
  </si>
  <si>
    <t>QUO-2026-1675-V1.3</t>
  </si>
  <si>
    <t>Confirmation Pending</t>
  </si>
  <si>
    <t>4,5/05/2026</t>
  </si>
  <si>
    <t>Kalmunay beach / bandaranayaka international airport</t>
  </si>
  <si>
    <t>Kalmunai beach</t>
  </si>
  <si>
    <t>8.00p.m</t>
  </si>
  <si>
    <t>QUO-2026-1599-V1.2</t>
  </si>
  <si>
    <t>08,09,10 / 05 / 2026</t>
  </si>
  <si>
    <t>Toyota Lanka RATHNAPURA</t>
  </si>
  <si>
    <t>Mr.chanuka prabath</t>
  </si>
  <si>
    <t>toyota lanka rathnapura / The Argyl hatton / toyota lanka rathnapura</t>
  </si>
  <si>
    <t>QUO-2026-1593-V1.2</t>
  </si>
  <si>
    <t>HSBC head office</t>
  </si>
  <si>
    <t>Chamika</t>
  </si>
  <si>
    <t>Tharanga Gunasekara</t>
  </si>
  <si>
    <t>0773633442</t>
  </si>
  <si>
    <t>HSBC head office / Lotus tower / HSBC head office</t>
  </si>
  <si>
    <t>C 12 pro 51 seats</t>
  </si>
  <si>
    <t>HSBC Headoffice , Jayathilaka rd,colombo</t>
  </si>
  <si>
    <t>Lotus tower</t>
  </si>
  <si>
    <t>QUO-2026-1515-v1.0</t>
  </si>
  <si>
    <t>Lyceum International School - Ratnapura</t>
  </si>
  <si>
    <t>Ms. Sandani Jayathilake</t>
  </si>
  <si>
    <t>071 960 3311</t>
  </si>
  <si>
    <t>LRA - Ratnapura National Museum - LRA</t>
  </si>
  <si>
    <t>LRA</t>
  </si>
  <si>
    <t>Ratnapura National Museum</t>
  </si>
  <si>
    <t>11.30 AM</t>
  </si>
  <si>
    <t>QUO-2026-1516-v1.1</t>
  </si>
  <si>
    <t>16,17/05/2026</t>
  </si>
  <si>
    <t>Toyota Lanka</t>
  </si>
  <si>
    <t>Mr.Anjana</t>
  </si>
  <si>
    <t>0777939420</t>
  </si>
  <si>
    <t>TOYOTA lanka kandy / Hotel RIU ahungalla</t>
  </si>
  <si>
    <t>Toyota lanka kandy</t>
  </si>
  <si>
    <t>Hotel Riu</t>
  </si>
  <si>
    <t>8.00 p.m</t>
  </si>
  <si>
    <t>March/30/2026</t>
  </si>
  <si>
    <t>QUO-2026-1584-v1.0</t>
  </si>
  <si>
    <t>Mr.Shriyantha</t>
  </si>
  <si>
    <t>0773700402</t>
  </si>
  <si>
    <t>Kadawatha / Ambalangoda / Kadawatha</t>
  </si>
  <si>
    <t>D 7</t>
  </si>
  <si>
    <t>Kadawatha</t>
  </si>
  <si>
    <t>Ambalangoda</t>
  </si>
  <si>
    <t>Mar/20/2026</t>
  </si>
  <si>
    <t>QUO-2026-1814-v1.0</t>
  </si>
  <si>
    <t>12,13,14/06/2026</t>
  </si>
  <si>
    <t>KHB Associates</t>
  </si>
  <si>
    <t>Mr.Nalaka</t>
  </si>
  <si>
    <t xml:space="preserve">KHB Associates colombo 6 / Elephas Resort &amp; Spa, No-47/B, Audangawa, Kibissa, Sigiriya / KHB Associates colombo 6 </t>
  </si>
  <si>
    <t>6.00 A.M</t>
  </si>
  <si>
    <t>QUO-2026-1821-v1.0</t>
  </si>
  <si>
    <t>June</t>
  </si>
  <si>
    <t>27,28/06/2026</t>
  </si>
  <si>
    <t>Commercal bank</t>
  </si>
  <si>
    <t>Mr.Thareek</t>
  </si>
  <si>
    <t>Kegalla town / Club Palm Bay, CRM6+CR4, Thalwila Wella, Thoduwawa, Beach Rd, Marawila / Kegalla town</t>
  </si>
  <si>
    <t>seats 51</t>
  </si>
  <si>
    <t>Kegalla town</t>
  </si>
  <si>
    <t>Club Palm Bay, CRM6+CR4, Thalwila Wella, Thoduwawa, Beach Rd, Marawila</t>
  </si>
  <si>
    <t>april/09/2026</t>
  </si>
  <si>
    <t>QUO-2026-1367-v1.9</t>
  </si>
  <si>
    <t>27,28,29/06/2026</t>
  </si>
  <si>
    <t>Mr.Alexi fernando</t>
  </si>
  <si>
    <t>Maharagama / Cinnomon bay beruwala / maharagama</t>
  </si>
  <si>
    <t>seats 49</t>
  </si>
  <si>
    <t>QUO-2026-1181-1.1</t>
  </si>
  <si>
    <t>August</t>
  </si>
  <si>
    <t xml:space="preserve">Ms. Dr. NishasnthiAberathne </t>
  </si>
  <si>
    <t xml:space="preserve">0725369765
</t>
  </si>
  <si>
    <t>Viharamahadevi park / Araliya beach resort, unawatuna / mirissa / Viharamahadevi park</t>
  </si>
  <si>
    <t>Normal Gall road, not using the High way
Seat 51 bus x 1 Need (53 passengers have, but they are ok with 51 seater)</t>
  </si>
  <si>
    <t>Viharamahadevi park</t>
  </si>
  <si>
    <t>Mirissa</t>
  </si>
  <si>
    <t>QUO-2026-1601-v1.2</t>
  </si>
  <si>
    <t>September</t>
  </si>
  <si>
    <t>04,06/09/2026</t>
  </si>
  <si>
    <t>Terasscale</t>
  </si>
  <si>
    <t>Mr.Saud Nasnod</t>
  </si>
  <si>
    <t>0711732403</t>
  </si>
  <si>
    <t>Cinnoman Red colombo/Jetwin yala kirinda</t>
  </si>
  <si>
    <t>Cinnomon red colombo</t>
  </si>
  <si>
    <t>Jetwin yala</t>
  </si>
  <si>
    <t>7.00a.m</t>
  </si>
  <si>
    <t>Hire Done Report (01.03.2026-31.03.2026)</t>
  </si>
  <si>
    <t>No of Hires</t>
  </si>
  <si>
    <t>QUO-2026-0861-v1.0</t>
  </si>
  <si>
    <t>March</t>
  </si>
  <si>
    <t>Ms. Rangika perera</t>
  </si>
  <si>
    <t>Piliyandala / Kelaniya Raja Maha Viharaya, Peliyagoda / Piliyandala</t>
  </si>
  <si>
    <t>NG-8255</t>
  </si>
  <si>
    <t>Wasantha. 077 422 4223</t>
  </si>
  <si>
    <t>Jan/27/2026
Feb/25/2026</t>
  </si>
  <si>
    <t>QUO-2026-1072-v1.1</t>
  </si>
  <si>
    <t>Ms. Vinitha Ranwala, Mr. Kasun</t>
  </si>
  <si>
    <t>070 263 4776, 077 834 6394</t>
  </si>
  <si>
    <t>Kohuwala / Rivonve Leisure Resort, Pukunuwala, Panawala / Kohuwala</t>
  </si>
  <si>
    <t>Do not charge if they exceed onyl 30 min from the drop off time</t>
  </si>
  <si>
    <t>NE 4785</t>
  </si>
  <si>
    <t>Jayarathna - 076779731</t>
  </si>
  <si>
    <t>Kohuwala</t>
  </si>
  <si>
    <t>Rivonve Leisure Resort, Pukunuwala, Panawala</t>
  </si>
  <si>
    <t>Jan/29/2025 , Feb/27/2026</t>
  </si>
  <si>
    <t>QUO-2026-1222-v1.3</t>
  </si>
  <si>
    <t>01,02/03/2026</t>
  </si>
  <si>
    <t>Mr. Sisira</t>
  </si>
  <si>
    <t>Nawagamuwa Petrol shed / Nuwaraeliya / Nawagamuwa Petrol shed</t>
  </si>
  <si>
    <t>Seat 51  x 1</t>
  </si>
  <si>
    <t>NG-8240</t>
  </si>
  <si>
    <t>Ranjith. 076 412 7008</t>
  </si>
  <si>
    <t>Nawagamuwa petrol shed</t>
  </si>
  <si>
    <t>Nuwaraeliya</t>
  </si>
  <si>
    <t>23:00 PM</t>
  </si>
  <si>
    <t>Feb/15/2026, Feb/27/2026</t>
  </si>
  <si>
    <t>QUO-2026-0959-v1.3</t>
  </si>
  <si>
    <t>1,2/03/2026</t>
  </si>
  <si>
    <t>Sarath Enterprises</t>
  </si>
  <si>
    <t>Mr. Gavesh</t>
  </si>
  <si>
    <t>076 712 7020</t>
  </si>
  <si>
    <t>Udahamulla Station Rd, Nugegoda/ Baduraliya / Udahamulla Station Rd, Nugegoda</t>
  </si>
  <si>
    <t>51 seater bus need
Customer tells to adjust the quotation for 200KMs, for Rs.100,000
Additional distance full 200KMs &gt; Map only 142KM &gt; but customer pays for 200KMs &gt; adding 57KMs to fit 200KMs and removing the amount of additional charges as refund.
* Need to display the welcome post in the bus TV</t>
  </si>
  <si>
    <t>NI-8228</t>
  </si>
  <si>
    <t>Saliya 077 788 0651</t>
  </si>
  <si>
    <t>Udahamulla Station Rd, Nugegoda</t>
  </si>
  <si>
    <t>Baduraliya</t>
  </si>
  <si>
    <t>QUO-2025-0617-v1.5</t>
  </si>
  <si>
    <t>Lyceum Leaf School Kottawa</t>
  </si>
  <si>
    <t xml:space="preserve">Ms. Shalani Fernando
</t>
  </si>
  <si>
    <t xml:space="preserve">Day 1: leaving from kottawa, drop at kohuwala and bring students back to kottawa 
</t>
  </si>
  <si>
    <t>NE-4785</t>
  </si>
  <si>
    <t>Lyceum Kottawa</t>
  </si>
  <si>
    <t>Lyceum Nugegoda</t>
  </si>
  <si>
    <t>QUO-2026-1023-V1.1</t>
  </si>
  <si>
    <t>Wycherley international school</t>
  </si>
  <si>
    <t>Ms. Iresha Senewirathne</t>
  </si>
  <si>
    <t>077 693 5406, 0776 935 959</t>
  </si>
  <si>
    <t xml:space="preserve">Miriswatta, Gampaha / Richman Carstle, Kaluthara / Sea turtle reserch, Benthota / Golden Grill resturant, Benthota / Miriswatta, Gampaha </t>
  </si>
  <si>
    <t>C9</t>
  </si>
  <si>
    <t>1) NI-8253
2) NI-8255
3) NI-8256</t>
  </si>
  <si>
    <t>1) Wasantha. 077 422 4223
2) Ranjith. 076 412 7008
3) Eranda. 071 684 7174</t>
  </si>
  <si>
    <t>Miriswatta, Gampaha</t>
  </si>
  <si>
    <t>Benthota</t>
  </si>
  <si>
    <t>QUO-2025-0641-v1.1</t>
  </si>
  <si>
    <t>Day2: leaving from kottawa, drop at kohuwala and bring students back to kottawa</t>
  </si>
  <si>
    <t>QUO-2026-0901-v1.2</t>
  </si>
  <si>
    <t>Lyceum International School - Wattala</t>
  </si>
  <si>
    <t xml:space="preserve"> Ms Ranisha Wijesinghe</t>
  </si>
  <si>
    <t>0768717635 / 0714211727</t>
  </si>
  <si>
    <t>LWA / Sea Turtle Hatchery, Hikkaduwa / Maritime Archaeology Museum,Galle / Hotel Hasara, Galle/ LWA</t>
  </si>
  <si>
    <t>Meal charges add to Quotation, Fuel Cost need to add from Polgasowita, Bus need to give from NCG</t>
  </si>
  <si>
    <t>Lyceum Wattala School</t>
  </si>
  <si>
    <t>Galle</t>
  </si>
  <si>
    <t>QUO-2026-1045-v1.0</t>
  </si>
  <si>
    <t>Lyceum International School - Panadura</t>
  </si>
  <si>
    <t>Ms. Shalini Silva</t>
  </si>
  <si>
    <t>Lyceum International School - Panadura / Heracle Adventure Park, R326+8H, Millewa / Lyceum International School - Panadura</t>
  </si>
  <si>
    <t>Informed Schoold to take the bus from outside</t>
  </si>
  <si>
    <t>Heracle Adventure Park, R326+8H, Millewa</t>
  </si>
  <si>
    <t>QUO-2026-1355-v.1.0</t>
  </si>
  <si>
    <t>Lyceum International School - Katunayake</t>
  </si>
  <si>
    <t>Ms. Amali Dewanarayana</t>
  </si>
  <si>
    <t>074 301 3136</t>
  </si>
  <si>
    <t xml:space="preserve">LKA , BOI ground , LKA                                                                                                                                                                                                                                                </t>
  </si>
  <si>
    <t>SBS bus NE 2261 &amp; NE 2273</t>
  </si>
  <si>
    <t>BOI Ground Katunayake</t>
  </si>
  <si>
    <t>08.00 AM</t>
  </si>
  <si>
    <t>11.00 AM</t>
  </si>
  <si>
    <t>QUO-2026-1366-v.1.0</t>
  </si>
  <si>
    <t>Ms. Rashini</t>
  </si>
  <si>
    <t>077 802 0536</t>
  </si>
  <si>
    <t>LNU, Nalanda College</t>
  </si>
  <si>
    <t>Only one way</t>
  </si>
  <si>
    <t>Nalanda College</t>
  </si>
  <si>
    <t>07.30 AM</t>
  </si>
  <si>
    <t>QUO-2026-1382-v1.1</t>
  </si>
  <si>
    <t>Ms. Kaveesha</t>
  </si>
  <si>
    <t>071 682 3038</t>
  </si>
  <si>
    <t>LNU, Fingara Club - Boralesgamuwa, LNU</t>
  </si>
  <si>
    <t>Fingara Club</t>
  </si>
  <si>
    <t>02.00 PM</t>
  </si>
  <si>
    <t>05.00 PM</t>
  </si>
  <si>
    <t>QUO-2026-1420-v1.1</t>
  </si>
  <si>
    <t>Mr. Waruna</t>
  </si>
  <si>
    <t>077 961 8428</t>
  </si>
  <si>
    <t>LPA - LNU - LPA</t>
  </si>
  <si>
    <t>LPA</t>
  </si>
  <si>
    <t>12.30 PM</t>
  </si>
  <si>
    <t>03.30 PM</t>
  </si>
  <si>
    <t>QUO-2026-1062-v1.0</t>
  </si>
  <si>
    <t>Lyceum International School -Ratnapura</t>
  </si>
  <si>
    <t>Ms.Thilini Ekanayaka</t>
  </si>
  <si>
    <t>074-0909332</t>
  </si>
  <si>
    <t>LRA / Rathnapura museum / LRA</t>
  </si>
  <si>
    <t>They use their SBS bus</t>
  </si>
  <si>
    <t>Rathnapura museum</t>
  </si>
  <si>
    <t>QUO-2026-1140-v1.0</t>
  </si>
  <si>
    <t>Thanes intertional pvt ltd, Nugegoda</t>
  </si>
  <si>
    <t>Ms. Keriena</t>
  </si>
  <si>
    <t>077 737 2631</t>
  </si>
  <si>
    <t>Galle Face Hotel, 2 Galle Rd, Colombo 00300 / SLIIT Malabe Campus / Galle Face Hotel, 2 Galle Rd, Colombo 00300</t>
  </si>
  <si>
    <t>NI-8255</t>
  </si>
  <si>
    <t>Galle Face Hotel, 2 Galle Rd, Colombo</t>
  </si>
  <si>
    <t>SLIIT Malabe Campus</t>
  </si>
  <si>
    <t>QUO-2026-1138-v1.0</t>
  </si>
  <si>
    <t>Mr. Sangeetha Fernando</t>
  </si>
  <si>
    <t>LWA / Sri Lanka Planetarium / LWA</t>
  </si>
  <si>
    <t>They have buses</t>
  </si>
  <si>
    <t>Sri Lanka Planetarium</t>
  </si>
  <si>
    <t>QUO-2026-1421-v1.0</t>
  </si>
  <si>
    <t>LNU - Fingara Club, Boralesgamuwa - LNU</t>
  </si>
  <si>
    <t>Darshana. 077 217 5946</t>
  </si>
  <si>
    <t>QUO-2026-1424-v1.1</t>
  </si>
  <si>
    <t>Ms. Yomali Amarasingha</t>
  </si>
  <si>
    <t>070 412 6529</t>
  </si>
  <si>
    <t>LKU - Malpitiya - Adventure Park Lyceum International School - LKU</t>
  </si>
  <si>
    <t>They have buses, Meal will be provided.</t>
  </si>
  <si>
    <t>LKU</t>
  </si>
  <si>
    <t>Adventure Park of Lyceum International School</t>
  </si>
  <si>
    <t>QUO-2026-1089-v1.1</t>
  </si>
  <si>
    <t>Musaeus College, Colombo</t>
  </si>
  <si>
    <t>Ms. Chintha Subashini</t>
  </si>
  <si>
    <t>071 127 0441</t>
  </si>
  <si>
    <t>Musaeus College, Colombo / National Engineering Research and Development Centre (NERD), Raja Mawatha / Wasana Nature Resort Kandana / Musaeus College, Colombo</t>
  </si>
  <si>
    <t>1. NE-4785
2. NE-4789</t>
  </si>
  <si>
    <t>1. Jayarathna. 076 779 7371
2. Darshana. 077 217 5946</t>
  </si>
  <si>
    <t>1. Priyankara
2. Roshan</t>
  </si>
  <si>
    <t>Meseus collage, Colombo</t>
  </si>
  <si>
    <t>Kandana</t>
  </si>
  <si>
    <t>QUO-2026-1358-v1.0</t>
  </si>
  <si>
    <t>Lyceum International School, Rathnapura</t>
  </si>
  <si>
    <t>Ms.Nadeeshani Ekanayake</t>
  </si>
  <si>
    <t>LRA / Eheliyagoda/ Dehiowita / Kithulgala / Lakshapana / Aberden waterfall , Ginigathhena / Kothmale powerr station / Kothmale damn / blue field tea factory, ramboda / LRA</t>
  </si>
  <si>
    <t>They did not used 3 buses.Only one bus used  300949</t>
  </si>
  <si>
    <t>Reason : Grade 9 Field Trip 
parking location = rathnapura x 02 bus
one bus = taking from outside company</t>
  </si>
  <si>
    <t>Kothmale</t>
  </si>
  <si>
    <t>QUO-2025-0588-v1.1</t>
  </si>
  <si>
    <t>Mr. Ravindra</t>
  </si>
  <si>
    <t>764133548 (Whatsapp), 077 313 9306</t>
  </si>
  <si>
    <t>LPA / Kanneliya Forest Resort, Kanneliya Road, Galle, / LPA</t>
  </si>
  <si>
    <t>Seat belts need</t>
  </si>
  <si>
    <t>Lyceum Panadura</t>
  </si>
  <si>
    <t>Kanneliya Forest Resort, Kanneliya Road, Galle,</t>
  </si>
  <si>
    <t>QUO-2026-1173-v1.0</t>
  </si>
  <si>
    <t>Mr. Kodithuwakku(price)</t>
  </si>
  <si>
    <t>077 776 2741</t>
  </si>
  <si>
    <t>Mirihana / Anuradhapura / Mirihana</t>
  </si>
  <si>
    <t>51 seater bus need</t>
  </si>
  <si>
    <t>Mirihana</t>
  </si>
  <si>
    <t>Anuradhapura</t>
  </si>
  <si>
    <t>QUO-2026-1371-v1.2</t>
  </si>
  <si>
    <t>IWMI</t>
  </si>
  <si>
    <t>Mr. Lahiru Madushanka</t>
  </si>
  <si>
    <t>Pelawatta Junction, Battaramulla / Seethawaka Botanicle garden / Pelawatta Junction</t>
  </si>
  <si>
    <t>NG-8254 NG 8257</t>
  </si>
  <si>
    <t>Jayarathna - 0767797371 Anurudda - 0774665922</t>
  </si>
  <si>
    <t>Pelawatta junction</t>
  </si>
  <si>
    <t>Seethawaka Miracle</t>
  </si>
  <si>
    <t>8.15 a.m</t>
  </si>
  <si>
    <t>QUO-2026-1331-v1.0</t>
  </si>
  <si>
    <t>Sri Lankadhara Orphanage, Mrs. Weeranthi Wijemanna</t>
  </si>
  <si>
    <t>Ms. Ramyalatha</t>
  </si>
  <si>
    <t>Wellawatta / Gampaha Henarathgoda/ Attanagalla Rajamaha viharaya  / Warana rajamaha viharaya / Wellawatta</t>
  </si>
  <si>
    <t>Seat 51 bus</t>
  </si>
  <si>
    <t>NI-8227</t>
  </si>
  <si>
    <t>Saliya - (077 788 0651)</t>
  </si>
  <si>
    <t>Lankadhara society,W.A.Silva Mawatha</t>
  </si>
  <si>
    <t>Gampaha</t>
  </si>
  <si>
    <t>QUO-2026-1143-v1.3</t>
  </si>
  <si>
    <t>SR Bio Food Products (Pvt) Ltd, Gampaha</t>
  </si>
  <si>
    <t>Mr. Saman Weerakkodi</t>
  </si>
  <si>
    <t>077 355 8408‬</t>
  </si>
  <si>
    <t>Gampaha / Nuwaraeliya / Gampaha</t>
  </si>
  <si>
    <t>NI-8256</t>
  </si>
  <si>
    <t>Eranda - 0716847174</t>
  </si>
  <si>
    <t>SR Bio Food Products (Pvt) Ltd, NO. 190, Lavulupitiya, Wathurugama, Gampaha,</t>
  </si>
  <si>
    <t>NuwaraEliya</t>
  </si>
  <si>
    <t>feb/25/2026</t>
  </si>
  <si>
    <t>(Less RS.118.00)</t>
  </si>
  <si>
    <t>QUO-2026-1423-v1.0</t>
  </si>
  <si>
    <t>03/07/2026 - 03/08/2026</t>
  </si>
  <si>
    <t>Mr. Arjun</t>
  </si>
  <si>
    <t>074 045 6202</t>
  </si>
  <si>
    <t>LRA - Kithulgala - St.Joseph's College, Colombo - Peradeniya - LRA</t>
  </si>
  <si>
    <t>They have bus</t>
  </si>
  <si>
    <t>St.Joseph's College, Colombo</t>
  </si>
  <si>
    <t>04.00 AM</t>
  </si>
  <si>
    <t>Quo-2026-1411</t>
  </si>
  <si>
    <t>Mr. Rohitha</t>
  </si>
  <si>
    <t>Nalanda Collage / Karuwalagaswewa / Nalanda Collage</t>
  </si>
  <si>
    <t>NI 8228</t>
  </si>
  <si>
    <t>Ranjith - 076 412 7008</t>
  </si>
  <si>
    <t>Nalanda Collage</t>
  </si>
  <si>
    <t>Karuwalagaswewa</t>
  </si>
  <si>
    <t xml:space="preserve">19:00 PM
</t>
  </si>
  <si>
    <t>QUO-2026-0995-v1.0</t>
  </si>
  <si>
    <t>Galle Face Hotel, 2 Galle Rd, Colombo / Queens Hotel, A9, Kandy / Galle Face Hotel, 2 Galle Rd, Colombo</t>
  </si>
  <si>
    <t>Saliya - 077 788 0651</t>
  </si>
  <si>
    <t>Priyankara</t>
  </si>
  <si>
    <t>Queens Hotel, A9, Kandy</t>
  </si>
  <si>
    <t>0852</t>
  </si>
  <si>
    <t>Mr.Dulith(He changed the date to 28th of march)</t>
  </si>
  <si>
    <t>QUO-2026-1422-v1.0</t>
  </si>
  <si>
    <t>Lyceum International School - Nuwara Eliya</t>
  </si>
  <si>
    <t>Mr. Indika Sampath</t>
  </si>
  <si>
    <t>077 867 2459</t>
  </si>
  <si>
    <t>Lyceum School, Nuwara Eliya - Pinnawala - Lyceum School, Nuwara Eliya</t>
  </si>
  <si>
    <t>School Bus - Eicher</t>
  </si>
  <si>
    <t>Lyceum School - Nuwara Eliya</t>
  </si>
  <si>
    <t>Pinnawala</t>
  </si>
  <si>
    <t>04.30 AM</t>
  </si>
  <si>
    <t>06.30 PM</t>
  </si>
  <si>
    <t>QUO-2026-1487-v1.0</t>
  </si>
  <si>
    <t>QUO-2026-1494-v1.0</t>
  </si>
  <si>
    <t>Mr. Rasika</t>
  </si>
  <si>
    <t>076 458 2029</t>
  </si>
  <si>
    <t>LNU - LWA - LNU</t>
  </si>
  <si>
    <t>QUO-2026-1062-v1.2</t>
  </si>
  <si>
    <t>Ms. Thilini Ekanayake</t>
  </si>
  <si>
    <t>074 090 9332</t>
  </si>
  <si>
    <t>QUO-2026-1272-v1.0</t>
  </si>
  <si>
    <t>Lyceum International School, Anuradhapura</t>
  </si>
  <si>
    <t>Ms. Harshani Jayathissa</t>
  </si>
  <si>
    <t>Lyceum Anuradhapura / Thisawewa / Lyceum Anuradhapura</t>
  </si>
  <si>
    <t>Department: AEC 
Grade: -
Reason : Field trip</t>
  </si>
  <si>
    <t>Lyceum Anuradhapura</t>
  </si>
  <si>
    <t>Thisawewa</t>
  </si>
  <si>
    <t>QUO-2026-1096-v1.0</t>
  </si>
  <si>
    <t>Ms. Amanda Gomez</t>
  </si>
  <si>
    <t>LWA / Che Adventure Park, 351 Boralugoda Kosgama, Hanwella / LWA</t>
  </si>
  <si>
    <t>Che Adventure Park, 351 Boralugoda Kosgama, Hanwella</t>
  </si>
  <si>
    <t>QUO-2026-1368-v1.0</t>
  </si>
  <si>
    <t>Ms. Shehara Fernando</t>
  </si>
  <si>
    <t>077 342 7242</t>
  </si>
  <si>
    <t>LPA , Dehiwala Zoo, LPA</t>
  </si>
  <si>
    <t>Dehiwala Zoo</t>
  </si>
  <si>
    <t>12.30 AM</t>
  </si>
  <si>
    <t>QUO-2026-1118-v1.1</t>
  </si>
  <si>
    <t>Lyceum International School - Anuradhapura</t>
  </si>
  <si>
    <t>Ms.Malshi Ranasinghe</t>
  </si>
  <si>
    <t>076-8634191</t>
  </si>
  <si>
    <t>LAN / Keels anuradhapura / LAN</t>
  </si>
  <si>
    <t>LAN</t>
  </si>
  <si>
    <t>Keels anuradhapura</t>
  </si>
  <si>
    <t>QUO-2026-1059-v1.1</t>
  </si>
  <si>
    <t>074 316 9197</t>
  </si>
  <si>
    <t>Lyceum International School -Ratnapura /  Karapincha Medical Center, Karapincha, Hidellana, Ratnapura, / Lyceum International School -Ratnapura</t>
  </si>
  <si>
    <t>Farm, RXFC+6HC, Polgasowita</t>
  </si>
  <si>
    <t>QUO-2026-1119-v1.1</t>
  </si>
  <si>
    <t>13/03/2026</t>
  </si>
  <si>
    <t>LAN / Anuradhapura Main Post Office/ LAN</t>
  </si>
  <si>
    <t>Post office, Anuradhapura</t>
  </si>
  <si>
    <t>QUO-2026-1523-V1.0</t>
  </si>
  <si>
    <t>QUO-2026-1529-v1.3</t>
  </si>
  <si>
    <t>Lyceum Campus - Nugegoda</t>
  </si>
  <si>
    <t>Mr. Pahan Bandara</t>
  </si>
  <si>
    <t>076 688 7618</t>
  </si>
  <si>
    <t>Lyceum Campus, Nugegoda - LWA - Lyceum Campus, Nugegoda</t>
  </si>
  <si>
    <t>Anurudda - 0774665922</t>
  </si>
  <si>
    <t>-</t>
  </si>
  <si>
    <t>06.45 AM</t>
  </si>
  <si>
    <t>QUO-2026-1191</t>
  </si>
  <si>
    <t>Mr.Gunathilaka</t>
  </si>
  <si>
    <t>Polgasowita/Hambanthota</t>
  </si>
  <si>
    <t>NE 4789</t>
  </si>
  <si>
    <t>Darshana - 0772175946</t>
  </si>
  <si>
    <t>Polgasowita</t>
  </si>
  <si>
    <t>Hambanthota</t>
  </si>
  <si>
    <t xml:space="preserve">5 a.m </t>
  </si>
  <si>
    <t>QUO-2025-0563-v1.2</t>
  </si>
  <si>
    <t>14,15/03/2026</t>
  </si>
  <si>
    <t>Selyan DevelopmentPLC</t>
  </si>
  <si>
    <t>Seyland Development PLC colombo / Carolina beach resort chilaw / Seyland Development PLC colombo</t>
  </si>
  <si>
    <t>Gamini - 0740255303</t>
  </si>
  <si>
    <t>Manuka</t>
  </si>
  <si>
    <t>Seylan Developments PLC, Colombo</t>
  </si>
  <si>
    <t>Carolina Beach Resort &amp; Spa, Iranawila Road, Chilaw,</t>
  </si>
  <si>
    <t>QUO-2026-0876-v1.0</t>
  </si>
  <si>
    <t>hellobetterdigital, rathmalana</t>
  </si>
  <si>
    <t>Ms. Shanika</t>
  </si>
  <si>
    <t>076 980 2162</t>
  </si>
  <si>
    <t xml:space="preserve">Maliban junction, rathmalana / Sigiriya / Maliban junction, rathmalana </t>
  </si>
  <si>
    <t>NE 8254</t>
  </si>
  <si>
    <t>Maliban junction, Rathmalana</t>
  </si>
  <si>
    <t>Sigiriya</t>
  </si>
  <si>
    <t>QUO - 1426</t>
  </si>
  <si>
    <t>CEB TESU WPNBU</t>
  </si>
  <si>
    <t>Mr.Madura</t>
  </si>
  <si>
    <t>1 bus - Kadawatha to kandalama 2 bus katunayaka 18 kanuwa,kandalama</t>
  </si>
  <si>
    <t>c9</t>
  </si>
  <si>
    <t>2 buses different routes</t>
  </si>
  <si>
    <t>QUO-2026-1530-v1.3</t>
  </si>
  <si>
    <t>Lyceum Campus, Nugegoda - LPA - Lyceum Campus, Nugegoda</t>
  </si>
  <si>
    <t>QUO-2026-1502-v</t>
  </si>
  <si>
    <t>Welipitiya Temple Rd, PanaduraWelipitiya Temple Rd, Panadura</t>
  </si>
  <si>
    <t>Ms.Anushka Gallage</t>
  </si>
  <si>
    <t>Welipitiya Temple Rd, PanaduraWelipitiya Temple Rd, Panadura,Kataragama</t>
  </si>
  <si>
    <t>seats 63</t>
  </si>
  <si>
    <t>Kataragama</t>
  </si>
  <si>
    <t xml:space="preserve">3.00 a.m </t>
  </si>
  <si>
    <t>full 292 km , so Rs.4375 will be add on balance payment but she paid only QUO ammount</t>
  </si>
  <si>
    <t>QUO-1502</t>
  </si>
  <si>
    <t>02.30 PM</t>
  </si>
  <si>
    <t>QUO-1561</t>
  </si>
  <si>
    <t>Dream space acedenmy</t>
  </si>
  <si>
    <t>Mr. Krishoth</t>
  </si>
  <si>
    <t>Galle face hotel to hatton</t>
  </si>
  <si>
    <t>One way</t>
  </si>
  <si>
    <t>Mar/15/2026</t>
  </si>
  <si>
    <t>NO QUO (Mr.sameera)</t>
  </si>
  <si>
    <t>QUO-2026-1559-v1.1</t>
  </si>
  <si>
    <t>LNU - Diyagama Ground - LNU</t>
  </si>
  <si>
    <t>Diyagama Ground</t>
  </si>
  <si>
    <t>06.30 AM</t>
  </si>
  <si>
    <t>05.30 PM</t>
  </si>
  <si>
    <t>QUO-2026-1269-v1.0</t>
  </si>
  <si>
    <t>18/03/2026</t>
  </si>
  <si>
    <t>Lyceum International School, Kurunegala</t>
  </si>
  <si>
    <t>Ms. Priyangika Ilankoon</t>
  </si>
  <si>
    <t>Lyceum Kurunegala / Municipal Fire Brigade - Kurunegala / Lyceym Kurunegala</t>
  </si>
  <si>
    <t>They have buses, Parking locations = Kurunegala</t>
  </si>
  <si>
    <t>Lyceum Kurunegala</t>
  </si>
  <si>
    <t>Municipal Fire Brigade - Kurunegala</t>
  </si>
  <si>
    <t>QUO-2026-1560-v1.1</t>
  </si>
  <si>
    <t>076 458 2029/0716510296</t>
  </si>
  <si>
    <t>05.30 AM</t>
  </si>
  <si>
    <t>QUO-2026-1374-v1.3</t>
  </si>
  <si>
    <t>Asian International Kindergarten</t>
  </si>
  <si>
    <t>Ms.Ruwini</t>
  </si>
  <si>
    <t>0711610805</t>
  </si>
  <si>
    <t>Uswaketiyawa waththala</t>
  </si>
  <si>
    <t>NI 8253 , NI 8256, NI 8252</t>
  </si>
  <si>
    <t>Ranjith,Eranda,Lasantha</t>
  </si>
  <si>
    <t>Asian International school</t>
  </si>
  <si>
    <t>Uswetakeiyawa waththala</t>
  </si>
  <si>
    <t>Asian International Grade 1</t>
  </si>
  <si>
    <t>Ms.Krissy Coenraad</t>
  </si>
  <si>
    <t>76 661 2155</t>
  </si>
  <si>
    <t>QUO-2026-1268-v1.3</t>
  </si>
  <si>
    <t>19/03/2026</t>
  </si>
  <si>
    <t>QUO-2025-0734-v1.0</t>
  </si>
  <si>
    <t>Lyceum International School, Nugegoda</t>
  </si>
  <si>
    <t>Ms. Ashini De Silva</t>
  </si>
  <si>
    <t>077 728 4639</t>
  </si>
  <si>
    <t>Lyceum Primary School, Nugegoda / Dilmah One Earth Centre Moratuwa/ Lyceum Primary School, Nugegoda</t>
  </si>
  <si>
    <t>LNU Primary</t>
  </si>
  <si>
    <t>QUO-2025-1409-v1.0</t>
  </si>
  <si>
    <t>Lyceum School, Nuwara Eliya - Victoria Park - Lyceum School, Nuwara Eliya</t>
  </si>
  <si>
    <t>Victoria Park</t>
  </si>
  <si>
    <t>QUO-2026-1617-v1.0</t>
  </si>
  <si>
    <t>19,22/03/2026</t>
  </si>
  <si>
    <t>Sunshine Health care</t>
  </si>
  <si>
    <t>The HR manager</t>
  </si>
  <si>
    <t>0762510001</t>
  </si>
  <si>
    <t>Sunshine healthcare head office /Jaffna/Kenkasanture/Mulative/Anuradhapura/Sunshine healthcare/ head office</t>
  </si>
  <si>
    <t>C12 pro 51</t>
  </si>
  <si>
    <t>QUO-2025-0735-v1.0</t>
  </si>
  <si>
    <t>20/03/2026</t>
  </si>
  <si>
    <t xml:space="preserve">QUO-2026-1165-v1.8 </t>
  </si>
  <si>
    <t xml:space="preserve">Postponed </t>
  </si>
  <si>
    <t>Colombo Nalanda College - Grade 06 (FUEL)</t>
  </si>
  <si>
    <t>Mr. Shalika De Silva</t>
  </si>
  <si>
    <t>Nalanda College, Colombo / Puttalam / Norechcholei Power station / Puttalam Lunu Lewaya / Nalanda College, Colombo</t>
  </si>
  <si>
    <t>seat 51 bus x 8
As per Mr. Sameera, profit per bus 70,000 - 75,000  02/25
Discount is not showing to customer (pass through minus adding (Mr. Sameera) 02/25</t>
  </si>
  <si>
    <t>NG 8240
NE 8226
NE 2520
NI 8243
NI 8227
NI 8244
NI 8241
NI 8229</t>
  </si>
  <si>
    <t>Nalanda collage</t>
  </si>
  <si>
    <t>Puttalam</t>
  </si>
  <si>
    <t xml:space="preserve">QUO-2026-1215-v1.3 </t>
  </si>
  <si>
    <t>Colombo Nalanda College - Grade 07(FUEL)</t>
  </si>
  <si>
    <t xml:space="preserve">Mr. Laal (Contact)
</t>
  </si>
  <si>
    <t>Nalanda collage / Galahitiya Tea Factory, / Delgamuwa Rajamaha Viharaya / Sri Sumana Saman Devalaya / RathnapuraNational Museum / Hotel Kashyapa / Seethawaka Wet Zone Botanical Gardens / Nalanda collage</t>
  </si>
  <si>
    <t>Grade 07, seat 51 bus x 8, there should be no additional charges after the hire</t>
  </si>
  <si>
    <t>QUO-2026-1413-v1.1</t>
  </si>
  <si>
    <t>Ms. Harshani Bandara</t>
  </si>
  <si>
    <t>071 308 7413</t>
  </si>
  <si>
    <t>LKU - Children's Park, Kurunegala - Keells, Kurunegala - LKU</t>
  </si>
  <si>
    <t>Children's Park, Kurunegala &amp; Keells, Kurunegala</t>
  </si>
  <si>
    <t>QUO-2026-1418-v1.0</t>
  </si>
  <si>
    <t>Mr.Indika</t>
  </si>
  <si>
    <t>Lyceum School, Nuwara Eliya - Keells, Nuwara Eliya - Lyceum School, Nuwara Eliya</t>
  </si>
  <si>
    <t>Keells, Nuwara Eliya</t>
  </si>
  <si>
    <t>12.00 PM</t>
  </si>
  <si>
    <t>QUO-2026-1589-v1.2</t>
  </si>
  <si>
    <t>Mr.Krishoth</t>
  </si>
  <si>
    <t>‪+94 76 664 6406‬</t>
  </si>
  <si>
    <t>Hatton, Yanta Colombo, Airport Garden, 234-238, Colombo, Negombo Rd, Seeduwa</t>
  </si>
  <si>
    <t>NI 8253</t>
  </si>
  <si>
    <t>Ranjith</t>
  </si>
  <si>
    <t>Hatton</t>
  </si>
  <si>
    <t>Seeduwa</t>
  </si>
  <si>
    <t>3.30 a.m</t>
  </si>
  <si>
    <t>Full payement done</t>
  </si>
  <si>
    <t>QUO-2026-1240-v1.4</t>
  </si>
  <si>
    <t>21/03/2026 22/03/2026</t>
  </si>
  <si>
    <t>Mr.Sajith</t>
  </si>
  <si>
    <t>Maharagama-Pamunuwa-Talapathpitiya Road, Maharagama, Sri Lanka</t>
  </si>
  <si>
    <t>NI 8256</t>
  </si>
  <si>
    <t>priyankara</t>
  </si>
  <si>
    <t>12.00 AM</t>
  </si>
  <si>
    <t>07.30 PM</t>
  </si>
  <si>
    <t>QUO-2026-1564-v1.2</t>
  </si>
  <si>
    <t>21,22/03/2026</t>
  </si>
  <si>
    <t>Mr.Trishan</t>
  </si>
  <si>
    <t>Panadura,Kande viharaya,katharagama kiri vehera,sella katharagama,thissamahramaya</t>
  </si>
  <si>
    <t>eranda</t>
  </si>
  <si>
    <t>roshan</t>
  </si>
  <si>
    <t xml:space="preserve">Panadura </t>
  </si>
  <si>
    <t>aluthgama,katharagama,thissamaharamaya</t>
  </si>
  <si>
    <t>10 p.m</t>
  </si>
  <si>
    <t>QUO-2026-0904-v1.3</t>
  </si>
  <si>
    <t>Alpha Industries</t>
  </si>
  <si>
    <t>Mr.Dhanuka</t>
  </si>
  <si>
    <t>0773139559</t>
  </si>
  <si>
    <t xml:space="preserve">Alpha industries kudamaduwa Rd polgasowita , Laya Leisure resort kukulegama , Alpha industries kudamaduwa Rd polgasowita </t>
  </si>
  <si>
    <t>NA 7729 , NE 4788 , NE 4789</t>
  </si>
  <si>
    <t>Sameera , Anurudda , Darshana</t>
  </si>
  <si>
    <t xml:space="preserve">........ , Baghya , </t>
  </si>
  <si>
    <t>Polgasowita kudamaduwa Alpha industries</t>
  </si>
  <si>
    <t>Kalawana kukulegama Laya Leisure resort</t>
  </si>
  <si>
    <t>8.00 A.M</t>
  </si>
  <si>
    <t>6.00 P.M</t>
  </si>
  <si>
    <t>QUO-2026-1346-v1.0</t>
  </si>
  <si>
    <t>Mr.Malaka (Reason - Fuel problem)</t>
  </si>
  <si>
    <t>0718856032</t>
  </si>
  <si>
    <t>Mr.Lakmal (Fuel)</t>
  </si>
  <si>
    <t>Mr.Senarath(They canceled the trip)</t>
  </si>
  <si>
    <t>Mr.Ganesh(They canceled the trip)</t>
  </si>
  <si>
    <t>QUO-2026-1583-v1.0</t>
  </si>
  <si>
    <t>Mr.Sudesh (Price)</t>
  </si>
  <si>
    <t>QUO-2026-1041-v1.0</t>
  </si>
  <si>
    <t>postponed</t>
  </si>
  <si>
    <t>24/03/2026</t>
  </si>
  <si>
    <t>Lyceum Pre Primary and Day Care,  Panadura 12500</t>
  </si>
  <si>
    <t>Ms. Yashodha Perera</t>
  </si>
  <si>
    <t>076 855 5132, 077 961 8428</t>
  </si>
  <si>
    <t>Lyceum Pre Primary and Day Care,  Panadura / Royal-MAS Arena, Royal College Union Office, Colombo / Lyceum Pre Primary and Day Care,  Panadura</t>
  </si>
  <si>
    <t>Royal-MAS Arena, Royal College Union Office, Colombo</t>
  </si>
  <si>
    <t>QUO-2026-1044-v1.0</t>
  </si>
  <si>
    <t>Lyceum Leaf Kalutara- Preschool</t>
  </si>
  <si>
    <t xml:space="preserve">Ms. Pavithra Edirisinghe </t>
  </si>
  <si>
    <t>077 642 9448 , 077 961 8428</t>
  </si>
  <si>
    <t>Lyceum Leaf Kalutara- Preschool / Royal-MAS Arena, Royal College Union Office, Colombo / Lyceum Leaf Kalutara- Preschool</t>
  </si>
  <si>
    <t>QUO-2026-1270-v1.1</t>
  </si>
  <si>
    <t xml:space="preserve">Ms. Priyangika Ilankoon </t>
  </si>
  <si>
    <t>Lyceum Kurunegala / Post Office - Kurunegala / Lyceym Kurunegala</t>
  </si>
  <si>
    <t>QUO-2026-1386-v1.0</t>
  </si>
  <si>
    <t>Lyceum Pre Primary - Kohuwala</t>
  </si>
  <si>
    <t>Lyceum Primary School, Kohuwala - Royal MAS Arena, Colombo - Lyceum Primary School, Kohuwala</t>
  </si>
  <si>
    <t>Lyceum Primary School - Kohuwala</t>
  </si>
  <si>
    <t>Royal MAS Arena</t>
  </si>
  <si>
    <t>QUO-2026-1271-v1.1</t>
  </si>
  <si>
    <t>25/03/2026</t>
  </si>
  <si>
    <t>QUO-2026-1387-v1.0</t>
  </si>
  <si>
    <t>25,26/03/2026</t>
  </si>
  <si>
    <t>Tokyo cement</t>
  </si>
  <si>
    <t xml:space="preserve">Mr. Indika Kumara </t>
  </si>
  <si>
    <t>Wariyapola / Hettipola / Nikaweratiya / Anuradhapura / Trincomalee / Trinco Blu by Cinnamon, Hotel / Wariyapola</t>
  </si>
  <si>
    <t>Wariyapola</t>
  </si>
  <si>
    <t>Hettipola,nikaweratiya,anuradapura,trinco,trinco blue by cinnamon</t>
  </si>
  <si>
    <t>07.00 p.m</t>
  </si>
  <si>
    <t>Full payment done/exceed KM amount paid to the driver)</t>
  </si>
  <si>
    <t>QUO-2026-1389-v1.4</t>
  </si>
  <si>
    <t>Mr. Harsha</t>
  </si>
  <si>
    <t>Wattala / Ja Ela / Kuliyapitiya/Trinco / Wattala</t>
  </si>
  <si>
    <t>Wattala</t>
  </si>
  <si>
    <t>Trinco Blu by Cinnamon, Trincomalee</t>
  </si>
  <si>
    <t>120000 payed on 22nd march</t>
  </si>
  <si>
    <t>QUO-2026-1652-v1.2</t>
  </si>
  <si>
    <t>Mr.Sahan</t>
  </si>
  <si>
    <t>0763505136 / 0714211295</t>
  </si>
  <si>
    <t>Ktunayaka airport</t>
  </si>
  <si>
    <t>Katunayaka Airport</t>
  </si>
  <si>
    <t>Pepiliyana temple</t>
  </si>
  <si>
    <t>8.30 A.M</t>
  </si>
  <si>
    <t>11.00 P.M</t>
  </si>
  <si>
    <t>Completed the trip with a new quo bcz pick up locations changed</t>
  </si>
  <si>
    <t>Wennappuwa</t>
  </si>
  <si>
    <t xml:space="preserve">QUO-2026-1525-v1.1 </t>
  </si>
  <si>
    <t>Thurstan college grade 9 section</t>
  </si>
  <si>
    <t>Mr.Nilantha (Fuel)</t>
  </si>
  <si>
    <t>Kaluthara bodiya,beruwala,Sea turtle hikkaduwa,Galle fort</t>
  </si>
  <si>
    <t>Thurstan college</t>
  </si>
  <si>
    <t>QUO-2026-1247-v1.2</t>
  </si>
  <si>
    <t>27/03/2026</t>
  </si>
  <si>
    <t>Colombo Nalanda College - Grade 10 (Customer canceled)</t>
  </si>
  <si>
    <t>Nalanda Collage / Ritigala / Minneriya Army camp / Nalanda Collage</t>
  </si>
  <si>
    <t>Nlanda Collage</t>
  </si>
  <si>
    <t>Minneriya</t>
  </si>
  <si>
    <t>QUO-2026-1248-v1.3</t>
  </si>
  <si>
    <t>Colombo Nalanda College - Grade 05 (customer cancled)</t>
  </si>
  <si>
    <t>Nalanda Collage / Reswehera Buddha Statue, Kurunegala / Jathika Namal Uyana / Avukana Buddha Statue / Kala wewa / Vijithapura / Ibbankatuwa Megalithic Tombs / Nalanda Collage</t>
  </si>
  <si>
    <t>Grade 05, Seat 51 x 5</t>
  </si>
  <si>
    <t>QUO-2026-1249-v1.3</t>
  </si>
  <si>
    <t>Colombo Nalanda College - Grade 05 (Customer canceled)</t>
  </si>
  <si>
    <t>Nalanda Collage / Sea Turtle Hatchery  / Martin Wikramasinghe Meuseum / DSI Factory / Galle fort / Nalanda collage</t>
  </si>
  <si>
    <t>seat 51 bus x 5
As per Mr. Sameera, profit per bus 70,000 - 75,000  02/25
Discount is not showing to customer (pass through minus adding (Mr. Sameera) 02/25</t>
  </si>
  <si>
    <t>QUO-2026-1340-v1.3</t>
  </si>
  <si>
    <t>Colombo Nalanda College - Grade 09 (Customer canceled)</t>
  </si>
  <si>
    <t>Ms. Himali Nanayakkara</t>
  </si>
  <si>
    <t>763506141 0718480981(whatsapp)</t>
  </si>
  <si>
    <t>Nalanda Collage / Dambulla / Nalanda Collage</t>
  </si>
  <si>
    <t>Seat 51 bus x 3
Seat 49 bus x 6
As per Mr. Sameera, profit per bus 70,000 - 75,000  02/25
Discount is not showing to customer (pass through minus adding (Mr. Sameera) 02/25</t>
  </si>
  <si>
    <t>Dambulla</t>
  </si>
  <si>
    <t>QUO-2026-1514-v1.0</t>
  </si>
  <si>
    <t>Mr. T R Silva</t>
  </si>
  <si>
    <t>072 535 4995</t>
  </si>
  <si>
    <t>LWA - Brief Garden, Beruwala - Hotel Sekku Villa, Beruwala</t>
  </si>
  <si>
    <t>(Parking location - Papiliyana)</t>
  </si>
  <si>
    <t>Brief Garden, Beruwala &amp; Hotel Sekku Villa, Beruwala</t>
  </si>
  <si>
    <t>QUO-2026-1608-v1.2</t>
  </si>
  <si>
    <t>Tokyo Lanka</t>
  </si>
  <si>
    <t>Mr.Pradeep Gomes</t>
  </si>
  <si>
    <t>0775644164</t>
  </si>
  <si>
    <t>Bauddaloka mawatha,Uga bay Kalkuda,Bauddaloka mawatha</t>
  </si>
  <si>
    <t>Chanaka 0776425937</t>
  </si>
  <si>
    <t>Hasith</t>
  </si>
  <si>
    <t>4.15 a.m</t>
  </si>
  <si>
    <t>QUO-2026-1347</t>
  </si>
  <si>
    <t>27,28/03/2026</t>
  </si>
  <si>
    <t>Merchent bank</t>
  </si>
  <si>
    <t>Ms.Nelufa</t>
  </si>
  <si>
    <t>0772838264</t>
  </si>
  <si>
    <t>Colombo 3/Aniwatta</t>
  </si>
  <si>
    <t>c12 pro seats 51</t>
  </si>
  <si>
    <t>ND 9817</t>
  </si>
  <si>
    <t>Baghya</t>
  </si>
  <si>
    <t>Colombo 3</t>
  </si>
  <si>
    <t>aniwatta</t>
  </si>
  <si>
    <t>Mar/09/2026</t>
  </si>
  <si>
    <t>Full Payment done</t>
  </si>
  <si>
    <t>QUO-2026- 1633 v1.1</t>
  </si>
  <si>
    <t>Mr.Lalitha</t>
  </si>
  <si>
    <t>Trinity college / Royal college colombo / Trinity college</t>
  </si>
  <si>
    <t>C 12 proSeats 51</t>
  </si>
  <si>
    <t>NG 8229</t>
  </si>
  <si>
    <t>Madushanka ( pradeep's no - 0741253129)</t>
  </si>
  <si>
    <t xml:space="preserve">Trinity college </t>
  </si>
  <si>
    <t>Mar/30/2026</t>
  </si>
  <si>
    <t>Kandy General Hospital</t>
  </si>
  <si>
    <t>Mr.Mallawaarachchi</t>
  </si>
  <si>
    <t>QUO-2026-1288</t>
  </si>
  <si>
    <t>Mr.Sanduneela (postponed to April)</t>
  </si>
  <si>
    <t>QUO-2026-1370-v1.1</t>
  </si>
  <si>
    <t>28,29/03/2026</t>
  </si>
  <si>
    <t>S.N.K.R.H.D Samarakoon</t>
  </si>
  <si>
    <t>0750792396 / 0714814858</t>
  </si>
  <si>
    <t>Gampola / Ruwanwella / Awissawella / Clueb Hotel Dolpin, Waikkal / Awissawella / Ruwanwella / Gampola</t>
  </si>
  <si>
    <t>sanjeewa</t>
  </si>
  <si>
    <t>Gampola</t>
  </si>
  <si>
    <t>Club hotel dolpin, waikkal</t>
  </si>
  <si>
    <t>QUO-2026-0852-v1.3</t>
  </si>
  <si>
    <t>Genesiis Software (Pvt) Ltd, Kollupitiya</t>
  </si>
  <si>
    <t>Mr. Dulith Fernando</t>
  </si>
  <si>
    <t>076 584 1943</t>
  </si>
  <si>
    <t>Genesiis Software (Pvt) Ltd, Kollupitiya / Dambulla / Heritance Kandalama, Heritance Kandalama / Genesiis Software (Pvt) Ltd, Kollupitiya</t>
  </si>
  <si>
    <t>51 seater new bus need</t>
  </si>
  <si>
    <t>Saman (0776757979)</t>
  </si>
  <si>
    <t>Kandalama, Dambulla</t>
  </si>
  <si>
    <t>Full payment done (2026/03/9 paid the final payment</t>
  </si>
  <si>
    <t>QUO-2026-1453-V1.1</t>
  </si>
  <si>
    <t>28/29/03/2026</t>
  </si>
  <si>
    <t>Mr.Riaz Farok</t>
  </si>
  <si>
    <t>Tyron fernando cricket stadium moratuwa,Mercantile cricket association,Dickoya maskeliya,Harrow Bungalow pundaluoya,Mercantile cricket stadium,Ttron fernando</t>
  </si>
  <si>
    <t>He wants the cleanest bus.He changed the destination to dickouya maskeliya ground</t>
  </si>
  <si>
    <t>No  Bcz D7</t>
  </si>
  <si>
    <t xml:space="preserve">Full payment done </t>
  </si>
  <si>
    <t>QUO-2026-1318 - v1.4</t>
  </si>
  <si>
    <t>Sampath Bank Head Office - Colombo</t>
  </si>
  <si>
    <t>Mr. Dilanka</t>
  </si>
  <si>
    <t>Nawam Mawatha, Colombo, / Chilaw / Nawam Mawatha, Colombo,</t>
  </si>
  <si>
    <t>C12 pro 2 seats 51</t>
  </si>
  <si>
    <t>51 bus x 2</t>
  </si>
  <si>
    <t>NI 8280 , NE 8226</t>
  </si>
  <si>
    <t>Dilshan (0704100083) ,
Sandaruwan (0771838322)</t>
  </si>
  <si>
    <t>Hasintha , pasidu</t>
  </si>
  <si>
    <t>Nawam Mawatha, Colombo</t>
  </si>
  <si>
    <t>Chilaw</t>
  </si>
  <si>
    <t>QUO-2026-1522-v1.0</t>
  </si>
  <si>
    <t xml:space="preserve">Completed </t>
  </si>
  <si>
    <t>Silvamil Group</t>
  </si>
  <si>
    <t>Mr.Sanjeewa</t>
  </si>
  <si>
    <t>0717770588</t>
  </si>
  <si>
    <t>Colombo / Amaya beach Pasikuda</t>
  </si>
  <si>
    <t>Lasantha (0779733584)</t>
  </si>
  <si>
    <t>QUO-2026-1522-v1.1</t>
  </si>
  <si>
    <t>Kadawatha / Amaya beach pasikuda</t>
  </si>
  <si>
    <t>Kithsiri (0704456002)</t>
  </si>
  <si>
    <t>Kushan</t>
  </si>
  <si>
    <t>QUO-2026-1522-v1.2</t>
  </si>
  <si>
    <t>Meerigama / Amaya beach Pasikuda</t>
  </si>
  <si>
    <t>NI 8240 / NI 2520 / NI 8242 / NI 8229 / NI 8225</t>
  </si>
  <si>
    <t>Gamini / Buddika / Lakmin / Pethum / Chaminda</t>
  </si>
  <si>
    <t>QUO-2026-1682-v1.0</t>
  </si>
  <si>
    <t>31,01/03/2026</t>
  </si>
  <si>
    <t>Cinnamon Grand</t>
  </si>
  <si>
    <t>Mr.Romesh Gunasinghe</t>
  </si>
  <si>
    <t>0713392125</t>
  </si>
  <si>
    <t>Cinnamon Grand Colombo / Cinnamon Wild Yala, Palatupana , Kirinda</t>
  </si>
  <si>
    <t>Super luxury seats 49</t>
  </si>
  <si>
    <t>Gamini 0740255303</t>
  </si>
  <si>
    <t>Cinnamon Grand Cololmbo</t>
  </si>
  <si>
    <t>Cinnamon Wild Yala</t>
  </si>
  <si>
    <t>6 p.m</t>
  </si>
  <si>
    <t>Mar/28/2026</t>
  </si>
  <si>
    <t>QUO-2026-1511-V1.2</t>
  </si>
  <si>
    <t>Vishaka vidyalaya (FUEL)</t>
  </si>
  <si>
    <t>Ms.Lerina Lian</t>
  </si>
  <si>
    <t>Visaka vidyalaya,Lavanga Beach Hotel, Galle Rd, Hikkaduwa,Sea Turtle Hatchery &amp; Rescue Center, A2, Hikkaduwa,visaka vidyalaya</t>
  </si>
  <si>
    <t>C12 pro Seats 51</t>
  </si>
  <si>
    <t>Visaka vidyalaya</t>
  </si>
  <si>
    <t>Lavanga beach hotel hikkaduwa,Sea turtle hatchery hikkaduwa</t>
  </si>
  <si>
    <t>Nalanda college grade 2 (FUEL)</t>
  </si>
  <si>
    <t>Nalanda college 4 (FUEL)</t>
  </si>
  <si>
    <t>Royal college grade 6 G (FUEL)</t>
  </si>
  <si>
    <t>Royal college GRADE 6 N (FUEL)</t>
  </si>
  <si>
    <t>Royal college Grade 7 N (FUEL)</t>
  </si>
  <si>
    <t>Royal college 7 D (FUEL)</t>
  </si>
  <si>
    <t>QUO-2026-14515v1.5</t>
  </si>
  <si>
    <t>He will complete the full payment after the trip</t>
  </si>
  <si>
    <t>QUO-2026-1467</t>
  </si>
  <si>
    <t>Confirmed - Waiting for Payment</t>
  </si>
  <si>
    <t>071 456 5475</t>
  </si>
  <si>
    <t>Special Hires Income Report - Upto 05th April 2026</t>
  </si>
  <si>
    <t>#</t>
  </si>
  <si>
    <t>April (2026)</t>
  </si>
  <si>
    <t>Total April</t>
  </si>
  <si>
    <t>Upcoming            Hires</t>
  </si>
  <si>
    <t>Cancelled</t>
  </si>
  <si>
    <t>Total</t>
  </si>
  <si>
    <t>Special Hires Income Report - Upto 21th April 2026</t>
  </si>
  <si>
    <t>Reason</t>
  </si>
  <si>
    <t>Mr. Kodithuwakku</t>
  </si>
  <si>
    <t>Price not within budget</t>
  </si>
  <si>
    <t>Mr.Dulith</t>
  </si>
  <si>
    <t>0765841943</t>
  </si>
  <si>
    <t>Date changed to 28th</t>
  </si>
  <si>
    <t>Postponed due to fuel restrictions (government rules)</t>
  </si>
  <si>
    <t xml:space="preserve">Mr. Laal 
</t>
  </si>
  <si>
    <t xml:space="preserve">Mr.Malaka </t>
  </si>
  <si>
    <t xml:space="preserve">Mr.Lakmal </t>
  </si>
  <si>
    <t>0768616501</t>
  </si>
  <si>
    <t>Mr.Senarath</t>
  </si>
  <si>
    <t>0726142193 / 0713142193</t>
  </si>
  <si>
    <t>Trip canceled by customer decision</t>
  </si>
  <si>
    <t>Mr.Ganesh</t>
  </si>
  <si>
    <t>0702634795</t>
  </si>
  <si>
    <t xml:space="preserve">Mr.Sudesh </t>
  </si>
  <si>
    <t>0770421200</t>
  </si>
  <si>
    <t>Mr.Harsha</t>
  </si>
  <si>
    <t>0777514874</t>
  </si>
  <si>
    <t>Trip completed with revised quotation (plan changed)</t>
  </si>
  <si>
    <t>Mr.Nilantha</t>
  </si>
  <si>
    <t xml:space="preserve">Colombo Nalanda College - Grade 10 </t>
  </si>
  <si>
    <t xml:space="preserve">Colombo Nalanda College - Grade 05 </t>
  </si>
  <si>
    <t xml:space="preserve">Colombo Nalanda College - Grade 09 </t>
  </si>
  <si>
    <t>0773407506</t>
  </si>
  <si>
    <t>No response from customer</t>
  </si>
  <si>
    <t>0778899489</t>
  </si>
  <si>
    <t>Trip proceeding with revised quotation</t>
  </si>
  <si>
    <t xml:space="preserve">Vishaka vidyalaya </t>
  </si>
  <si>
    <t xml:space="preserve">St Joseph's Convent school, Kegalle </t>
  </si>
  <si>
    <t>Saman,Sadaruwan</t>
  </si>
  <si>
    <t>Upul,</t>
  </si>
  <si>
    <t>Lyceum International School /Nugegoda  / Sir John Kothalawala college kurunagala</t>
  </si>
  <si>
    <t>Heracle holdings nugegoda</t>
  </si>
  <si>
    <t>Heracle Holdings/Heracle Adventure park horana/Heracle Holdings</t>
  </si>
  <si>
    <t xml:space="preserve">Lyceum International School - Nugegoda 
</t>
  </si>
  <si>
    <t>NE 4788 , NE 4789</t>
  </si>
  <si>
    <t xml:space="preserve">Nissanka,Anurudda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</si>
</sst>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-* #,##0.00_-;\-* #,##0.00_-;_-* &quot;-&quot;??_-;_-@"/>
    <numFmt numFmtId="177" formatCode="mm/dd/yyyy"/>
    <numFmt numFmtId="178" formatCode="0.00_);[Red]\(0.00\)"/>
    <numFmt numFmtId="179" formatCode="h:mm\ AM/PM"/>
    <numFmt numFmtId="180" formatCode="mmm/d/yyyy"/>
    <numFmt numFmtId="181" formatCode="d/m/yyyy"/>
    <numFmt numFmtId="182" formatCode="dd\-mmm\-yy"/>
    <numFmt numFmtId="183" formatCode="mmmm\ d"/>
    <numFmt numFmtId="184" formatCode="0.00_ "/>
  </numFmts>
  <fonts count="4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rgb="FF221F1F"/>
      <name val="Calibri"/>
      <charset val="134"/>
    </font>
    <font>
      <sz val="11"/>
      <color theme="1"/>
      <name val="Calibri"/>
      <charset val="134"/>
    </font>
    <font>
      <sz val="9"/>
      <color rgb="FF1F2937"/>
      <name val="Quattrocento Sans"/>
      <charset val="134"/>
    </font>
    <font>
      <sz val="10"/>
      <color rgb="FF1F2937"/>
      <name val="Quattrocento Sans"/>
      <charset val="134"/>
    </font>
    <font>
      <b/>
      <sz val="11"/>
      <color theme="1"/>
      <name val="Calibri"/>
      <charset val="134"/>
      <scheme val="minor"/>
    </font>
    <font>
      <sz val="9"/>
      <color rgb="FF1F2937"/>
      <name val="&quot;Segoe UI&quot;"/>
      <charset val="134"/>
    </font>
    <font>
      <sz val="9"/>
      <color rgb="FF1F2937"/>
      <name val="Arial"/>
      <charset val="134"/>
    </font>
    <font>
      <b/>
      <sz val="9"/>
      <color rgb="FF374151"/>
      <name val="&quot;Segoe UI&quot;"/>
      <charset val="134"/>
    </font>
    <font>
      <b/>
      <sz val="9"/>
      <color rgb="FF374151"/>
      <name val="Arial"/>
      <charset val="134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rgb="FF374151"/>
      <name val="Arial"/>
      <charset val="134"/>
    </font>
    <font>
      <sz val="11"/>
      <name val="Calibri"/>
      <charset val="134"/>
      <scheme val="minor"/>
    </font>
    <font>
      <b/>
      <sz val="20"/>
      <color rgb="FF000000"/>
      <name val="Calibri"/>
      <charset val="134"/>
    </font>
    <font>
      <sz val="11"/>
      <color rgb="FF1F2937"/>
      <name val="Calibri"/>
      <charset val="134"/>
    </font>
    <font>
      <sz val="11"/>
      <color rgb="FF1F2937"/>
      <name val="&quot;Segoe UI&quot;"/>
      <charset val="134"/>
    </font>
    <font>
      <sz val="11"/>
      <color rgb="FF1F2937"/>
      <name val="Arial"/>
      <charset val="134"/>
    </font>
    <font>
      <sz val="13"/>
      <color theme="1"/>
      <name val="Calibri"/>
      <charset val="134"/>
    </font>
    <font>
      <b/>
      <sz val="14"/>
      <color theme="1"/>
      <name val="Calibri"/>
      <charset val="134"/>
    </font>
    <font>
      <b/>
      <sz val="13"/>
      <color theme="1"/>
      <name val="Calibri"/>
      <charset val="134"/>
    </font>
    <font>
      <sz val="11"/>
      <color rgb="FF374151"/>
      <name val="Calibri"/>
      <charset val="134"/>
      <scheme val="minor"/>
    </font>
    <font>
      <sz val="11"/>
      <color rgb="FF1F2937"/>
      <name val="Calibri"/>
      <charset val="134"/>
      <scheme val="minor"/>
    </font>
    <font>
      <sz val="9"/>
      <color rgb="FF1F2937"/>
      <name val="Calibri"/>
      <charset val="134"/>
      <scheme val="minor"/>
    </font>
    <font>
      <sz val="8.25"/>
      <color rgb="FF374151"/>
      <name val="Calibri"/>
      <charset val="134"/>
      <scheme val="minor"/>
    </font>
    <font>
      <sz val="10.5"/>
      <color rgb="FF1F2937"/>
      <name val="Calibri"/>
      <charset val="134"/>
      <scheme val="minor"/>
    </font>
    <font>
      <sz val="11"/>
      <color rgb="FF1D253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0" tint="-0.15"/>
        <bgColor indexed="64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FFFFF"/>
      </patternFill>
    </fill>
    <fill>
      <patternFill patternType="solid">
        <fgColor theme="0" tint="-0.15"/>
        <bgColor rgb="FFFF0000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7" borderId="48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49" applyNumberFormat="0" applyFill="0" applyAlignment="0" applyProtection="0">
      <alignment vertical="center"/>
    </xf>
    <xf numFmtId="0" fontId="34" fillId="0" borderId="49" applyNumberFormat="0" applyFill="0" applyAlignment="0" applyProtection="0">
      <alignment vertical="center"/>
    </xf>
    <xf numFmtId="0" fontId="35" fillId="0" borderId="5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8" borderId="51" applyNumberFormat="0" applyAlignment="0" applyProtection="0">
      <alignment vertical="center"/>
    </xf>
    <xf numFmtId="0" fontId="37" fillId="19" borderId="52" applyNumberFormat="0" applyAlignment="0" applyProtection="0">
      <alignment vertical="center"/>
    </xf>
    <xf numFmtId="0" fontId="38" fillId="19" borderId="51" applyNumberFormat="0" applyAlignment="0" applyProtection="0">
      <alignment vertical="center"/>
    </xf>
    <xf numFmtId="0" fontId="39" fillId="20" borderId="53" applyNumberFormat="0" applyAlignment="0" applyProtection="0">
      <alignment vertical="center"/>
    </xf>
    <xf numFmtId="0" fontId="40" fillId="0" borderId="54" applyNumberFormat="0" applyFill="0" applyAlignment="0" applyProtection="0">
      <alignment vertical="center"/>
    </xf>
    <xf numFmtId="0" fontId="41" fillId="0" borderId="55" applyNumberFormat="0" applyFill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</cellStyleXfs>
  <cellXfs count="316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176" fontId="3" fillId="3" borderId="2" xfId="0" applyNumberFormat="1" applyFont="1" applyFill="1" applyBorder="1" applyAlignment="1">
      <alignment horizontal="center" vertical="center"/>
    </xf>
    <xf numFmtId="177" fontId="3" fillId="4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78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right" vertical="center"/>
    </xf>
    <xf numFmtId="0" fontId="3" fillId="3" borderId="4" xfId="0" applyNumberFormat="1" applyFont="1" applyFill="1" applyBorder="1" applyAlignment="1">
      <alignment horizontal="right" vertical="center"/>
    </xf>
    <xf numFmtId="176" fontId="3" fillId="3" borderId="1" xfId="0" applyNumberFormat="1" applyFont="1" applyFill="1" applyBorder="1" applyAlignment="1">
      <alignment horizontal="right" vertical="center"/>
    </xf>
    <xf numFmtId="176" fontId="3" fillId="3" borderId="5" xfId="0" applyNumberFormat="1" applyFont="1" applyFill="1" applyBorder="1" applyAlignment="1">
      <alignment horizontal="right" vertical="center"/>
    </xf>
    <xf numFmtId="0" fontId="3" fillId="3" borderId="6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horizontal="left" vertical="center"/>
    </xf>
    <xf numFmtId="178" fontId="1" fillId="2" borderId="1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wrapText="1"/>
    </xf>
    <xf numFmtId="179" fontId="3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wrapText="1"/>
    </xf>
    <xf numFmtId="3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right" vertical="center"/>
    </xf>
    <xf numFmtId="176" fontId="3" fillId="4" borderId="8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3" fillId="4" borderId="9" xfId="0" applyNumberFormat="1" applyFont="1" applyFill="1" applyBorder="1" applyAlignment="1">
      <alignment vertical="center"/>
    </xf>
    <xf numFmtId="176" fontId="3" fillId="4" borderId="1" xfId="0" applyNumberFormat="1" applyFont="1" applyFill="1" applyBorder="1" applyAlignment="1">
      <alignment vertical="center"/>
    </xf>
    <xf numFmtId="176" fontId="1" fillId="5" borderId="1" xfId="0" applyNumberFormat="1" applyFont="1" applyFill="1" applyBorder="1" applyAlignment="1">
      <alignment horizontal="center" vertical="center" wrapText="1"/>
    </xf>
    <xf numFmtId="176" fontId="3" fillId="4" borderId="2" xfId="0" applyNumberFormat="1" applyFont="1" applyFill="1" applyBorder="1" applyAlignment="1">
      <alignment horizontal="center" vertical="center"/>
    </xf>
    <xf numFmtId="4" fontId="3" fillId="4" borderId="10" xfId="0" applyNumberFormat="1" applyFont="1" applyFill="1" applyBorder="1" applyAlignment="1">
      <alignment horizontal="center" vertical="center"/>
    </xf>
    <xf numFmtId="180" fontId="3" fillId="4" borderId="10" xfId="0" applyNumberFormat="1" applyFont="1" applyFill="1" applyBorder="1" applyAlignment="1">
      <alignment horizontal="center" vertical="center" wrapText="1"/>
    </xf>
    <xf numFmtId="4" fontId="3" fillId="6" borderId="10" xfId="0" applyNumberFormat="1" applyFont="1" applyFill="1" applyBorder="1" applyAlignment="1">
      <alignment horizontal="center" vertical="center" wrapText="1"/>
    </xf>
    <xf numFmtId="4" fontId="3" fillId="4" borderId="2" xfId="0" applyNumberFormat="1" applyFont="1" applyFill="1" applyBorder="1" applyAlignment="1">
      <alignment horizontal="center" vertical="center"/>
    </xf>
    <xf numFmtId="180" fontId="3" fillId="4" borderId="2" xfId="0" applyNumberFormat="1" applyFont="1" applyFill="1" applyBorder="1" applyAlignment="1">
      <alignment horizontal="center" vertical="center" wrapText="1"/>
    </xf>
    <xf numFmtId="4" fontId="3" fillId="6" borderId="2" xfId="0" applyNumberFormat="1" applyFont="1" applyFill="1" applyBorder="1" applyAlignment="1">
      <alignment horizontal="center" vertical="center" wrapText="1"/>
    </xf>
    <xf numFmtId="4" fontId="3" fillId="6" borderId="2" xfId="0" applyNumberFormat="1" applyFont="1" applyFill="1" applyBorder="1" applyAlignment="1">
      <alignment horizontal="right" vertical="center" wrapText="1"/>
    </xf>
    <xf numFmtId="4" fontId="3" fillId="4" borderId="10" xfId="0" applyNumberFormat="1" applyFont="1" applyFill="1" applyBorder="1" applyAlignment="1">
      <alignment horizontal="center" vertical="center" wrapText="1"/>
    </xf>
    <xf numFmtId="4" fontId="3" fillId="4" borderId="2" xfId="0" applyNumberFormat="1" applyFont="1" applyFill="1" applyBorder="1" applyAlignment="1">
      <alignment horizontal="center" vertical="center" wrapText="1"/>
    </xf>
    <xf numFmtId="4" fontId="3" fillId="4" borderId="2" xfId="0" applyNumberFormat="1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 wrapText="1"/>
    </xf>
    <xf numFmtId="177" fontId="3" fillId="3" borderId="2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 wrapText="1"/>
    </xf>
    <xf numFmtId="58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81" fontId="3" fillId="3" borderId="2" xfId="0" applyNumberFormat="1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right" vertical="center"/>
    </xf>
    <xf numFmtId="0" fontId="0" fillId="3" borderId="13" xfId="0" applyFill="1" applyBorder="1"/>
    <xf numFmtId="0" fontId="0" fillId="3" borderId="13" xfId="0" applyFill="1" applyBorder="1" applyAlignment="1">
      <alignment wrapText="1"/>
    </xf>
    <xf numFmtId="0" fontId="2" fillId="0" borderId="2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0" fillId="3" borderId="1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0" fontId="8" fillId="0" borderId="1" xfId="0" applyFont="1" applyFill="1" applyBorder="1" applyAlignment="1">
      <alignment vertical="center"/>
    </xf>
    <xf numFmtId="176" fontId="9" fillId="0" borderId="14" xfId="0" applyNumberFormat="1" applyFont="1" applyFill="1" applyBorder="1" applyAlignment="1">
      <alignment vertical="center"/>
    </xf>
    <xf numFmtId="176" fontId="10" fillId="0" borderId="5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0" fillId="8" borderId="0" xfId="0" applyFont="1" applyFill="1" applyAlignment="1">
      <alignment vertical="center"/>
    </xf>
    <xf numFmtId="176" fontId="3" fillId="0" borderId="2" xfId="0" applyNumberFormat="1" applyFont="1" applyFill="1" applyBorder="1" applyAlignment="1">
      <alignment horizontal="right" vertical="center"/>
    </xf>
    <xf numFmtId="177" fontId="3" fillId="0" borderId="2" xfId="0" applyNumberFormat="1" applyFont="1" applyFill="1" applyBorder="1" applyAlignment="1">
      <alignment horizontal="center" vertical="center" wrapText="1"/>
    </xf>
    <xf numFmtId="58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81" fontId="3" fillId="0" borderId="2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right" vertical="center"/>
    </xf>
    <xf numFmtId="0" fontId="3" fillId="0" borderId="15" xfId="0" applyNumberFormat="1" applyFont="1" applyFill="1" applyBorder="1" applyAlignment="1">
      <alignment horizontal="right" vertical="center"/>
    </xf>
    <xf numFmtId="0" fontId="3" fillId="0" borderId="6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left" vertical="center"/>
    </xf>
    <xf numFmtId="178" fontId="3" fillId="0" borderId="1" xfId="0" applyNumberFormat="1" applyFont="1" applyFill="1" applyBorder="1" applyAlignment="1">
      <alignment horizontal="left" vertical="center"/>
    </xf>
    <xf numFmtId="178" fontId="3" fillId="0" borderId="8" xfId="0" applyNumberFormat="1" applyFont="1" applyFill="1" applyBorder="1" applyAlignment="1">
      <alignment horizontal="left" vertical="center"/>
    </xf>
    <xf numFmtId="178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79" fontId="3" fillId="0" borderId="1" xfId="0" applyNumberFormat="1" applyFont="1" applyFill="1" applyBorder="1" applyAlignment="1">
      <alignment horizontal="right" vertical="center"/>
    </xf>
    <xf numFmtId="0" fontId="3" fillId="0" borderId="13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wrapText="1"/>
    </xf>
    <xf numFmtId="0" fontId="3" fillId="0" borderId="1" xfId="0" applyFont="1" applyFill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right" vertical="center"/>
    </xf>
    <xf numFmtId="176" fontId="3" fillId="0" borderId="8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9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vertical="center"/>
    </xf>
    <xf numFmtId="176" fontId="3" fillId="0" borderId="2" xfId="0" applyNumberFormat="1" applyFont="1" applyFill="1" applyBorder="1" applyAlignment="1">
      <alignment horizontal="center" vertical="center"/>
    </xf>
    <xf numFmtId="4" fontId="3" fillId="0" borderId="2" xfId="0" applyNumberFormat="1" applyFont="1" applyFill="1" applyBorder="1" applyAlignment="1">
      <alignment horizontal="center" vertical="center"/>
    </xf>
    <xf numFmtId="180" fontId="3" fillId="0" borderId="2" xfId="0" applyNumberFormat="1" applyFont="1" applyFill="1" applyBorder="1" applyAlignment="1">
      <alignment horizontal="center" vertical="center" wrapText="1"/>
    </xf>
    <xf numFmtId="4" fontId="3" fillId="0" borderId="2" xfId="0" applyNumberFormat="1" applyFont="1" applyFill="1" applyBorder="1" applyAlignment="1">
      <alignment horizontal="right" vertical="center" wrapText="1"/>
    </xf>
    <xf numFmtId="4" fontId="3" fillId="9" borderId="2" xfId="0" applyNumberFormat="1" applyFont="1" applyFill="1" applyBorder="1" applyAlignment="1">
      <alignment horizontal="center" vertical="center" wrapText="1"/>
    </xf>
    <xf numFmtId="4" fontId="3" fillId="8" borderId="2" xfId="0" applyNumberFormat="1" applyFont="1" applyFill="1" applyBorder="1" applyAlignment="1">
      <alignment horizontal="left" vertical="center" wrapText="1"/>
    </xf>
    <xf numFmtId="4" fontId="3" fillId="9" borderId="2" xfId="0" applyNumberFormat="1" applyFont="1" applyFill="1" applyBorder="1" applyAlignment="1">
      <alignment horizontal="left" vertical="center" wrapText="1"/>
    </xf>
    <xf numFmtId="0" fontId="6" fillId="0" borderId="0" xfId="0" applyFont="1" applyFill="1" applyAlignment="1">
      <alignment vertical="center"/>
    </xf>
    <xf numFmtId="43" fontId="0" fillId="0" borderId="0" xfId="1" applyFont="1" applyFill="1" applyAlignment="1">
      <alignment vertical="center"/>
    </xf>
    <xf numFmtId="0" fontId="11" fillId="0" borderId="13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182" fontId="6" fillId="10" borderId="18" xfId="1" applyNumberFormat="1" applyFont="1" applyFill="1" applyBorder="1" applyAlignment="1">
      <alignment horizontal="center" vertical="center" wrapText="1"/>
    </xf>
    <xf numFmtId="182" fontId="6" fillId="10" borderId="18" xfId="1" applyNumberFormat="1" applyFont="1" applyFill="1" applyBorder="1" applyAlignment="1">
      <alignment horizontal="center" vertical="center"/>
    </xf>
    <xf numFmtId="0" fontId="12" fillId="10" borderId="19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/>
    </xf>
    <xf numFmtId="182" fontId="6" fillId="10" borderId="13" xfId="1" applyNumberFormat="1" applyFont="1" applyFill="1" applyBorder="1" applyAlignment="1">
      <alignment horizontal="center" vertical="center"/>
    </xf>
    <xf numFmtId="43" fontId="6" fillId="10" borderId="13" xfId="1" applyFont="1" applyFill="1" applyBorder="1" applyAlignment="1">
      <alignment horizontal="center" vertical="center"/>
    </xf>
    <xf numFmtId="0" fontId="0" fillId="0" borderId="20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center"/>
    </xf>
    <xf numFmtId="176" fontId="13" fillId="3" borderId="3" xfId="0" applyNumberFormat="1" applyFont="1" applyFill="1" applyBorder="1" applyAlignment="1">
      <alignment vertical="center"/>
    </xf>
    <xf numFmtId="43" fontId="0" fillId="0" borderId="13" xfId="1" applyFont="1" applyFill="1" applyBorder="1" applyAlignment="1">
      <alignment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43" fontId="6" fillId="0" borderId="23" xfId="1" applyFont="1" applyFill="1" applyBorder="1" applyAlignment="1">
      <alignment vertical="center"/>
    </xf>
    <xf numFmtId="0" fontId="11" fillId="0" borderId="24" xfId="0" applyFont="1" applyFill="1" applyBorder="1" applyAlignment="1">
      <alignment horizontal="center" vertical="center"/>
    </xf>
    <xf numFmtId="0" fontId="11" fillId="0" borderId="25" xfId="0" applyFont="1" applyFill="1" applyBorder="1" applyAlignment="1">
      <alignment horizontal="center" vertical="center"/>
    </xf>
    <xf numFmtId="43" fontId="6" fillId="10" borderId="26" xfId="1" applyFont="1" applyFill="1" applyBorder="1" applyAlignment="1">
      <alignment horizontal="center" vertical="center" wrapText="1"/>
    </xf>
    <xf numFmtId="0" fontId="6" fillId="10" borderId="27" xfId="0" applyFont="1" applyFill="1" applyBorder="1" applyAlignment="1">
      <alignment vertical="center"/>
    </xf>
    <xf numFmtId="43" fontId="6" fillId="10" borderId="24" xfId="1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/>
    </xf>
    <xf numFmtId="43" fontId="0" fillId="0" borderId="24" xfId="1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43" fontId="0" fillId="0" borderId="13" xfId="1" applyFont="1" applyFill="1" applyBorder="1" applyAlignment="1">
      <alignment horizontal="center" vertical="center"/>
    </xf>
    <xf numFmtId="43" fontId="0" fillId="0" borderId="24" xfId="1" applyFont="1" applyFill="1" applyBorder="1" applyAlignment="1">
      <alignment horizontal="center" vertical="center"/>
    </xf>
    <xf numFmtId="43" fontId="6" fillId="0" borderId="28" xfId="1" applyFont="1" applyFill="1" applyBorder="1" applyAlignment="1">
      <alignment vertical="center"/>
    </xf>
    <xf numFmtId="43" fontId="6" fillId="0" borderId="13" xfId="1" applyFont="1" applyFill="1" applyBorder="1" applyAlignment="1">
      <alignment horizontal="center" vertical="center"/>
    </xf>
    <xf numFmtId="43" fontId="6" fillId="0" borderId="24" xfId="1" applyFont="1" applyFill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176" fontId="3" fillId="3" borderId="0" xfId="0" applyNumberFormat="1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center" vertical="center"/>
    </xf>
    <xf numFmtId="0" fontId="6" fillId="10" borderId="0" xfId="0" applyFont="1" applyFill="1" applyAlignment="1">
      <alignment vertical="center"/>
    </xf>
    <xf numFmtId="0" fontId="6" fillId="10" borderId="0" xfId="0" applyFont="1" applyFill="1" applyBorder="1" applyAlignment="1">
      <alignment horizontal="center" vertical="center"/>
    </xf>
    <xf numFmtId="182" fontId="6" fillId="10" borderId="0" xfId="1" applyNumberFormat="1" applyFont="1" applyFill="1" applyBorder="1" applyAlignment="1">
      <alignment horizontal="center" vertical="center" wrapText="1"/>
    </xf>
    <xf numFmtId="182" fontId="6" fillId="10" borderId="0" xfId="1" applyNumberFormat="1" applyFont="1" applyFill="1" applyBorder="1" applyAlignment="1">
      <alignment horizontal="center" vertical="center"/>
    </xf>
    <xf numFmtId="43" fontId="6" fillId="10" borderId="0" xfId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vertical="center"/>
    </xf>
    <xf numFmtId="0" fontId="11" fillId="0" borderId="29" xfId="0" applyFont="1" applyFill="1" applyBorder="1" applyAlignment="1">
      <alignment horizontal="center" vertical="center"/>
    </xf>
    <xf numFmtId="43" fontId="6" fillId="10" borderId="0" xfId="1" applyFont="1" applyFill="1" applyBorder="1" applyAlignment="1">
      <alignment horizontal="center" vertical="center" wrapText="1"/>
    </xf>
    <xf numFmtId="43" fontId="0" fillId="0" borderId="0" xfId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0" fontId="0" fillId="3" borderId="0" xfId="0" applyFont="1" applyFill="1" applyAlignment="1">
      <alignment vertical="center"/>
    </xf>
    <xf numFmtId="0" fontId="0" fillId="0" borderId="0" xfId="0" applyNumberFormat="1" applyFont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vertical="center"/>
    </xf>
    <xf numFmtId="0" fontId="15" fillId="11" borderId="30" xfId="0" applyFont="1" applyFill="1" applyBorder="1" applyAlignment="1">
      <alignment horizontal="left" vertical="center" wrapText="1"/>
    </xf>
    <xf numFmtId="0" fontId="14" fillId="0" borderId="32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0" fontId="14" fillId="0" borderId="34" xfId="0" applyFont="1" applyBorder="1" applyAlignment="1">
      <alignment vertical="center"/>
    </xf>
    <xf numFmtId="0" fontId="14" fillId="0" borderId="35" xfId="0" applyFont="1" applyBorder="1" applyAlignment="1">
      <alignment vertical="center"/>
    </xf>
    <xf numFmtId="0" fontId="14" fillId="0" borderId="36" xfId="0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 wrapText="1"/>
    </xf>
    <xf numFmtId="176" fontId="3" fillId="3" borderId="2" xfId="0" applyNumberFormat="1" applyFont="1" applyFill="1" applyBorder="1" applyAlignment="1">
      <alignment horizontal="right" vertical="center"/>
    </xf>
    <xf numFmtId="0" fontId="0" fillId="3" borderId="0" xfId="0" applyFont="1" applyFill="1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58" fontId="3" fillId="4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1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7" fillId="6" borderId="0" xfId="0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0" fontId="14" fillId="0" borderId="32" xfId="0" applyNumberFormat="1" applyFont="1" applyBorder="1" applyAlignment="1">
      <alignment vertical="center"/>
    </xf>
    <xf numFmtId="0" fontId="14" fillId="0" borderId="36" xfId="0" applyNumberFormat="1" applyFont="1" applyBorder="1" applyAlignment="1">
      <alignment vertical="center"/>
    </xf>
    <xf numFmtId="0" fontId="3" fillId="3" borderId="1" xfId="0" applyNumberFormat="1" applyFont="1" applyFill="1" applyBorder="1" applyAlignment="1">
      <alignment horizontal="right"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78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178" fontId="3" fillId="3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179" fontId="3" fillId="3" borderId="1" xfId="0" applyNumberFormat="1" applyFont="1" applyFill="1" applyBorder="1" applyAlignment="1">
      <alignment horizontal="right" vertical="center"/>
    </xf>
    <xf numFmtId="178" fontId="3" fillId="3" borderId="8" xfId="0" applyNumberFormat="1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right" vertical="center"/>
    </xf>
    <xf numFmtId="176" fontId="3" fillId="3" borderId="8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3" borderId="9" xfId="0" applyNumberFormat="1" applyFont="1" applyFill="1" applyBorder="1" applyAlignment="1">
      <alignment vertical="center"/>
    </xf>
    <xf numFmtId="176" fontId="3" fillId="3" borderId="1" xfId="0" applyNumberFormat="1" applyFont="1" applyFill="1" applyBorder="1" applyAlignment="1">
      <alignment vertical="center"/>
    </xf>
    <xf numFmtId="4" fontId="3" fillId="4" borderId="2" xfId="0" applyNumberFormat="1" applyFont="1" applyFill="1" applyBorder="1" applyAlignment="1">
      <alignment horizontal="right" vertical="center" wrapText="1"/>
    </xf>
    <xf numFmtId="4" fontId="3" fillId="14" borderId="2" xfId="0" applyNumberFormat="1" applyFont="1" applyFill="1" applyBorder="1" applyAlignment="1">
      <alignment horizontal="right" vertical="center" wrapText="1"/>
    </xf>
    <xf numFmtId="4" fontId="3" fillId="3" borderId="2" xfId="0" applyNumberFormat="1" applyFont="1" applyFill="1" applyBorder="1" applyAlignment="1">
      <alignment horizontal="center" vertical="center"/>
    </xf>
    <xf numFmtId="180" fontId="3" fillId="3" borderId="2" xfId="0" applyNumberFormat="1" applyFont="1" applyFill="1" applyBorder="1" applyAlignment="1">
      <alignment horizontal="center" vertical="center" wrapText="1"/>
    </xf>
    <xf numFmtId="4" fontId="3" fillId="3" borderId="2" xfId="0" applyNumberFormat="1" applyFont="1" applyFill="1" applyBorder="1" applyAlignment="1">
      <alignment horizontal="right" vertical="center" wrapText="1"/>
    </xf>
    <xf numFmtId="0" fontId="14" fillId="0" borderId="37" xfId="0" applyFont="1" applyBorder="1" applyAlignment="1">
      <alignment vertical="center"/>
    </xf>
    <xf numFmtId="4" fontId="3" fillId="15" borderId="2" xfId="0" applyNumberFormat="1" applyFont="1" applyFill="1" applyBorder="1" applyAlignment="1">
      <alignment horizontal="left" vertical="center" wrapText="1"/>
    </xf>
    <xf numFmtId="58" fontId="3" fillId="4" borderId="2" xfId="0" applyNumberFormat="1" applyFont="1" applyFill="1" applyBorder="1" applyAlignment="1">
      <alignment horizontal="center" vertical="center"/>
    </xf>
    <xf numFmtId="58" fontId="3" fillId="3" borderId="2" xfId="0" applyNumberFormat="1" applyFont="1" applyFill="1" applyBorder="1" applyAlignment="1">
      <alignment horizontal="center" vertical="center"/>
    </xf>
    <xf numFmtId="4" fontId="3" fillId="3" borderId="2" xfId="0" applyNumberFormat="1" applyFont="1" applyFill="1" applyBorder="1" applyAlignment="1">
      <alignment horizontal="center" vertical="center" wrapText="1"/>
    </xf>
    <xf numFmtId="4" fontId="3" fillId="3" borderId="2" xfId="0" applyNumberFormat="1" applyFont="1" applyFill="1" applyBorder="1" applyAlignment="1">
      <alignment horizontal="left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181" fontId="3" fillId="4" borderId="2" xfId="0" applyNumberFormat="1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8" fillId="3" borderId="0" xfId="0" applyFont="1" applyFill="1" applyAlignment="1">
      <alignment vertical="center"/>
    </xf>
    <xf numFmtId="0" fontId="8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76" fontId="9" fillId="3" borderId="14" xfId="0" applyNumberFormat="1" applyFont="1" applyFill="1" applyBorder="1" applyAlignment="1">
      <alignment vertical="center"/>
    </xf>
    <xf numFmtId="0" fontId="3" fillId="3" borderId="15" xfId="0" applyNumberFormat="1" applyFont="1" applyFill="1" applyBorder="1" applyAlignment="1">
      <alignment horizontal="right" vertical="center"/>
    </xf>
    <xf numFmtId="176" fontId="10" fillId="3" borderId="3" xfId="0" applyNumberFormat="1" applyFont="1" applyFill="1" applyBorder="1" applyAlignment="1">
      <alignment vertical="center"/>
    </xf>
    <xf numFmtId="176" fontId="10" fillId="3" borderId="5" xfId="0" applyNumberFormat="1" applyFont="1" applyFill="1" applyBorder="1" applyAlignment="1">
      <alignment vertical="center"/>
    </xf>
    <xf numFmtId="176" fontId="3" fillId="3" borderId="14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3" fillId="4" borderId="38" xfId="0" applyFont="1" applyFill="1" applyBorder="1" applyAlignment="1">
      <alignment horizontal="left" vertical="center" wrapText="1"/>
    </xf>
    <xf numFmtId="0" fontId="3" fillId="4" borderId="39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183" fontId="3" fillId="3" borderId="2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41" xfId="0" applyFont="1" applyBorder="1" applyAlignment="1">
      <alignment horizontal="left" vertical="center" wrapText="1"/>
    </xf>
    <xf numFmtId="0" fontId="19" fillId="0" borderId="41" xfId="0" applyFont="1" applyBorder="1" applyAlignment="1">
      <alignment horizontal="center" vertical="center" wrapText="1"/>
    </xf>
    <xf numFmtId="176" fontId="20" fillId="0" borderId="4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16" borderId="2" xfId="0" applyFont="1" applyFill="1" applyBorder="1" applyAlignment="1">
      <alignment horizontal="left" vertical="center" wrapText="1"/>
    </xf>
    <xf numFmtId="0" fontId="19" fillId="0" borderId="4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0" fillId="0" borderId="41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43" xfId="0" applyFont="1" applyBorder="1" applyAlignment="1">
      <alignment horizontal="right" vertical="center"/>
    </xf>
    <xf numFmtId="176" fontId="21" fillId="0" borderId="43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76" fontId="3" fillId="0" borderId="0" xfId="0" applyNumberFormat="1" applyFont="1" applyAlignment="1">
      <alignment vertical="center"/>
    </xf>
    <xf numFmtId="176" fontId="21" fillId="0" borderId="43" xfId="0" applyNumberFormat="1" applyFont="1" applyBorder="1" applyAlignment="1">
      <alignment horizontal="center" vertical="center" wrapText="1"/>
    </xf>
    <xf numFmtId="176" fontId="3" fillId="0" borderId="0" xfId="0" applyNumberFormat="1" applyFont="1" applyAlignment="1">
      <alignment vertical="center" wrapText="1"/>
    </xf>
    <xf numFmtId="4" fontId="21" fillId="0" borderId="44" xfId="0" applyNumberFormat="1" applyFont="1" applyBorder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15" fillId="11" borderId="32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2" fillId="0" borderId="45" xfId="0" applyFont="1" applyBorder="1" applyAlignment="1">
      <alignment vertical="center"/>
    </xf>
    <xf numFmtId="0" fontId="2" fillId="3" borderId="13" xfId="0" applyFont="1" applyFill="1" applyBorder="1" applyAlignment="1">
      <alignment horizontal="left" vertical="center" wrapText="1"/>
    </xf>
    <xf numFmtId="0" fontId="23" fillId="0" borderId="0" xfId="0" applyFont="1"/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/>
    <xf numFmtId="0" fontId="25" fillId="0" borderId="0" xfId="0" applyFont="1"/>
    <xf numFmtId="0" fontId="26" fillId="0" borderId="45" xfId="0" applyFont="1" applyBorder="1" applyAlignment="1">
      <alignment horizontal="center" vertical="center" wrapText="1"/>
    </xf>
    <xf numFmtId="0" fontId="22" fillId="0" borderId="0" xfId="0" applyFont="1" applyAlignment="1">
      <alignment vertical="top" wrapText="1"/>
    </xf>
    <xf numFmtId="0" fontId="2" fillId="3" borderId="0" xfId="0" applyFont="1" applyFill="1" applyAlignment="1">
      <alignment horizontal="left" vertical="center"/>
    </xf>
    <xf numFmtId="0" fontId="26" fillId="0" borderId="45" xfId="0" applyFont="1" applyBorder="1" applyAlignment="1">
      <alignment vertical="center" wrapText="1"/>
    </xf>
    <xf numFmtId="0" fontId="26" fillId="0" borderId="0" xfId="0" applyFont="1" applyAlignment="1">
      <alignment wrapText="1"/>
    </xf>
    <xf numFmtId="0" fontId="23" fillId="0" borderId="0" xfId="0" applyFont="1" applyAlignment="1">
      <alignment horizontal="left" vertical="center"/>
    </xf>
    <xf numFmtId="3" fontId="22" fillId="0" borderId="0" xfId="0" applyNumberFormat="1" applyFont="1" applyAlignment="1">
      <alignment horizontal="center" vertical="center"/>
    </xf>
    <xf numFmtId="178" fontId="3" fillId="4" borderId="1" xfId="0" applyNumberFormat="1" applyFont="1" applyFill="1" applyBorder="1" applyAlignment="1">
      <alignment horizontal="center" vertical="center" wrapText="1"/>
    </xf>
    <xf numFmtId="22" fontId="3" fillId="4" borderId="1" xfId="0" applyNumberFormat="1" applyFont="1" applyFill="1" applyBorder="1" applyAlignment="1">
      <alignment horizontal="right" vertical="center"/>
    </xf>
    <xf numFmtId="4" fontId="3" fillId="4" borderId="46" xfId="0" applyNumberFormat="1" applyFont="1" applyFill="1" applyBorder="1" applyAlignment="1">
      <alignment horizontal="center" vertical="center"/>
    </xf>
    <xf numFmtId="180" fontId="3" fillId="4" borderId="46" xfId="0" applyNumberFormat="1" applyFont="1" applyFill="1" applyBorder="1" applyAlignment="1">
      <alignment horizontal="center" vertical="center" wrapText="1"/>
    </xf>
    <xf numFmtId="4" fontId="3" fillId="6" borderId="2" xfId="0" applyNumberFormat="1" applyFont="1" applyFill="1" applyBorder="1" applyAlignment="1">
      <alignment horizontal="right" vertical="center"/>
    </xf>
    <xf numFmtId="4" fontId="3" fillId="6" borderId="10" xfId="0" applyNumberFormat="1" applyFont="1" applyFill="1" applyBorder="1" applyAlignment="1">
      <alignment horizontal="center" vertical="center"/>
    </xf>
    <xf numFmtId="4" fontId="3" fillId="6" borderId="2" xfId="0" applyNumberFormat="1" applyFont="1" applyFill="1" applyBorder="1" applyAlignment="1">
      <alignment horizontal="center" vertical="center"/>
    </xf>
    <xf numFmtId="4" fontId="3" fillId="6" borderId="46" xfId="0" applyNumberFormat="1" applyFont="1" applyFill="1" applyBorder="1" applyAlignment="1">
      <alignment horizontal="center" vertical="center"/>
    </xf>
    <xf numFmtId="4" fontId="3" fillId="4" borderId="46" xfId="0" applyNumberFormat="1" applyFont="1" applyFill="1" applyBorder="1" applyAlignment="1">
      <alignment horizontal="center" vertical="center" wrapText="1"/>
    </xf>
    <xf numFmtId="0" fontId="15" fillId="11" borderId="3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0" fillId="3" borderId="47" xfId="0" applyFont="1" applyFill="1" applyBorder="1" applyAlignment="1">
      <alignment vertical="center"/>
    </xf>
    <xf numFmtId="0" fontId="0" fillId="3" borderId="47" xfId="0" applyFont="1" applyFill="1" applyBorder="1" applyAlignment="1">
      <alignment horizontal="center" vertical="center"/>
    </xf>
    <xf numFmtId="0" fontId="0" fillId="3" borderId="47" xfId="0" applyFont="1" applyFill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3" fontId="22" fillId="0" borderId="0" xfId="0" applyNumberFormat="1" applyFont="1" applyAlignment="1">
      <alignment vertical="center"/>
    </xf>
    <xf numFmtId="184" fontId="0" fillId="3" borderId="47" xfId="0" applyNumberFormat="1" applyFont="1" applyFill="1" applyBorder="1" applyAlignment="1">
      <alignment vertical="center"/>
    </xf>
    <xf numFmtId="0" fontId="0" fillId="3" borderId="47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 quotePrefix="1">
      <alignment horizontal="left" vertical="center"/>
    </xf>
    <xf numFmtId="0" fontId="8" fillId="3" borderId="1" xfId="0" applyFont="1" applyFill="1" applyBorder="1" applyAlignment="1" quotePrefix="1">
      <alignment vertical="center"/>
    </xf>
    <xf numFmtId="0" fontId="4" fillId="3" borderId="1" xfId="0" applyFont="1" applyFill="1" applyBorder="1" applyAlignment="1" quotePrefix="1">
      <alignment horizontal="left" vertical="center"/>
    </xf>
    <xf numFmtId="0" fontId="2" fillId="3" borderId="2" xfId="0" applyFont="1" applyFill="1" applyBorder="1" applyAlignment="1" quotePrefix="1">
      <alignment horizontal="left" vertical="center"/>
    </xf>
    <xf numFmtId="0" fontId="23" fillId="0" borderId="0" xfId="0" applyFont="1" applyAlignment="1" quotePrefix="1">
      <alignment horizontal="center" vertical="center"/>
    </xf>
    <xf numFmtId="0" fontId="2" fillId="3" borderId="0" xfId="0" applyFont="1" applyFill="1" applyAlignment="1" quotePrefix="1">
      <alignment horizontal="left" vertical="center"/>
    </xf>
    <xf numFmtId="0" fontId="0" fillId="3" borderId="47" xfId="0" applyFont="1" applyFill="1" applyBorder="1" applyAlignment="1" quotePrefix="1">
      <alignment vertical="center"/>
    </xf>
    <xf numFmtId="0" fontId="2" fillId="3" borderId="2" xfId="0" applyFont="1" applyFill="1" applyBorder="1" applyAlignment="1" quotePrefix="1">
      <alignment horizontal="left" vertical="center" wrapText="1"/>
    </xf>
    <xf numFmtId="0" fontId="2" fillId="3" borderId="2" xfId="0" applyFont="1" applyFill="1" applyBorder="1" applyAlignment="1" quotePrefix="1">
      <alignment vertical="center"/>
    </xf>
    <xf numFmtId="0" fontId="7" fillId="3" borderId="0" xfId="0" applyFont="1" applyFill="1" applyAlignment="1" quotePrefix="1">
      <alignment vertical="center"/>
    </xf>
    <xf numFmtId="0" fontId="2" fillId="0" borderId="2" xfId="0" applyFont="1" applyFill="1" applyBorder="1" applyAlignment="1" quotePrefix="1">
      <alignment horizontal="left" vertical="center" wrapText="1"/>
    </xf>
    <xf numFmtId="0" fontId="2" fillId="0" borderId="2" xfId="0" applyFont="1" applyFill="1" applyBorder="1" applyAlignment="1" quotePrefix="1">
      <alignment horizontal="left" vertical="center"/>
    </xf>
    <xf numFmtId="0" fontId="4" fillId="0" borderId="2" xfId="0" applyFont="1" applyFill="1" applyBorder="1" applyAlignment="1" quotePrefix="1">
      <alignment horizontal="left" vertical="center"/>
    </xf>
    <xf numFmtId="0" fontId="7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ill>
        <patternFill patternType="solid">
          <fgColor rgb="FF999999"/>
          <bgColor rgb="FF99999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2B300"/>
          <bgColor rgb="FFF2B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Google_Calendar-style" pivot="0" count="3" xr9:uid="{FF9BAA0F-2A84-36EB-FF67-E8695AEC7BA6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66675</xdr:rowOff>
    </xdr:from>
    <xdr:ext cx="1769745" cy="49530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66675"/>
          <a:ext cx="176974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66675</xdr:rowOff>
    </xdr:from>
    <xdr:ext cx="1769745" cy="495300"/>
    <xdr:pic>
      <xdr:nvPicPr>
        <xdr:cNvPr id="3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66675"/>
          <a:ext cx="176974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0</xdr:row>
      <xdr:rowOff>66675</xdr:rowOff>
    </xdr:from>
    <xdr:ext cx="1769745" cy="49530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76200" y="66675"/>
          <a:ext cx="1769745" cy="495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X75"/>
  <sheetViews>
    <sheetView tabSelected="1" zoomScale="74" zoomScaleNormal="74" workbookViewId="0">
      <selection activeCell="N58" sqref="N58:N74"/>
    </sheetView>
  </sheetViews>
  <sheetFormatPr defaultColWidth="9" defaultRowHeight="16.8"/>
  <cols>
    <col min="1" max="1" width="19.875" customWidth="1"/>
    <col min="2" max="2" width="12.4140625" customWidth="1"/>
    <col min="3" max="3" width="7.546875" style="280" customWidth="1"/>
    <col min="4" max="4" width="14.0546875" customWidth="1"/>
    <col min="5" max="5" width="21.1640625" customWidth="1"/>
    <col min="6" max="6" width="13.015625" style="279" customWidth="1"/>
    <col min="7" max="7" width="7.84375" customWidth="1"/>
    <col min="8" max="8" width="13.671875" customWidth="1"/>
    <col min="9" max="9" width="11.4296875" customWidth="1"/>
    <col min="10" max="10" width="31.3046875" customWidth="1"/>
    <col min="11" max="11" width="8.046875" customWidth="1"/>
    <col min="12" max="12" width="6.75" customWidth="1"/>
    <col min="13" max="13" width="7.453125" customWidth="1"/>
    <col min="14" max="14" width="13.6171875" customWidth="1"/>
    <col min="17" max="17" width="23.3046875" customWidth="1"/>
    <col min="18" max="18" width="8.6328125" customWidth="1"/>
    <col min="20" max="20" width="11.25" customWidth="1"/>
    <col min="22" max="22" width="12.109375" customWidth="1"/>
    <col min="23" max="23" width="10.15625" customWidth="1"/>
    <col min="25" max="25" width="12.5859375" customWidth="1"/>
    <col min="42" max="42" width="10.5625"/>
    <col min="43" max="43" width="16.2734375" customWidth="1"/>
    <col min="44" max="44" width="12.359375" customWidth="1"/>
  </cols>
  <sheetData>
    <row r="1" ht="63" customHeight="1" spans="1:46">
      <c r="A1" s="281" t="s">
        <v>0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281"/>
      <c r="AP1" s="281"/>
      <c r="AQ1" s="281"/>
      <c r="AR1" s="281"/>
      <c r="AS1" s="281"/>
      <c r="AT1" s="306"/>
    </row>
    <row r="2" ht="84" spans="1:46">
      <c r="A2" s="1" t="s">
        <v>1</v>
      </c>
      <c r="B2" s="1" t="s">
        <v>2</v>
      </c>
      <c r="C2" s="1" t="s">
        <v>3</v>
      </c>
      <c r="D2" s="2" t="s">
        <v>4</v>
      </c>
      <c r="E2" s="7" t="s">
        <v>5</v>
      </c>
      <c r="F2" s="7" t="s">
        <v>6</v>
      </c>
      <c r="G2" s="7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2" t="s">
        <v>13</v>
      </c>
      <c r="N2" s="1" t="s">
        <v>14</v>
      </c>
      <c r="O2" s="15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2" t="s">
        <v>20</v>
      </c>
      <c r="U2" s="2" t="s">
        <v>21</v>
      </c>
      <c r="V2" s="1" t="s">
        <v>22</v>
      </c>
      <c r="W2" s="1" t="s">
        <v>23</v>
      </c>
      <c r="X2" s="1" t="s">
        <v>24</v>
      </c>
      <c r="Y2" s="23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29" t="s">
        <v>31</v>
      </c>
      <c r="AF2" s="29" t="s">
        <v>32</v>
      </c>
      <c r="AG2" s="29" t="s">
        <v>33</v>
      </c>
      <c r="AH2" s="29" t="s">
        <v>34</v>
      </c>
      <c r="AI2" s="29" t="s">
        <v>35</v>
      </c>
      <c r="AJ2" s="29" t="s">
        <v>36</v>
      </c>
      <c r="AK2" s="29" t="s">
        <v>37</v>
      </c>
      <c r="AL2" s="35" t="s">
        <v>38</v>
      </c>
      <c r="AM2" s="35" t="s">
        <v>39</v>
      </c>
      <c r="AN2" s="35" t="s">
        <v>40</v>
      </c>
      <c r="AO2" s="35" t="s">
        <v>41</v>
      </c>
      <c r="AP2" s="29" t="s">
        <v>42</v>
      </c>
      <c r="AQ2" s="1" t="s">
        <v>43</v>
      </c>
      <c r="AR2" s="29" t="s">
        <v>44</v>
      </c>
      <c r="AS2" s="1" t="s">
        <v>4</v>
      </c>
      <c r="AT2" s="7" t="s">
        <v>45</v>
      </c>
    </row>
    <row r="3" s="78" customFormat="1" ht="61" hidden="1" customHeight="1" spans="1:48">
      <c r="A3" s="3" t="s">
        <v>46</v>
      </c>
      <c r="B3" s="60" t="s">
        <v>47</v>
      </c>
      <c r="C3" s="5" t="s">
        <v>48</v>
      </c>
      <c r="D3" s="6">
        <v>46057</v>
      </c>
      <c r="E3" s="237" t="s">
        <v>49</v>
      </c>
      <c r="F3" s="284"/>
      <c r="G3" s="239" t="s">
        <v>50</v>
      </c>
      <c r="H3" s="3" t="s">
        <v>51</v>
      </c>
      <c r="I3" s="242" t="s">
        <v>52</v>
      </c>
      <c r="J3" s="9" t="s">
        <v>53</v>
      </c>
      <c r="K3" s="10" t="s">
        <v>54</v>
      </c>
      <c r="L3" s="11">
        <v>5</v>
      </c>
      <c r="M3" s="11">
        <v>37.3</v>
      </c>
      <c r="N3" s="18">
        <v>397629</v>
      </c>
      <c r="O3" s="203"/>
      <c r="P3" s="18"/>
      <c r="Q3" s="10"/>
      <c r="R3" s="21">
        <v>1</v>
      </c>
      <c r="S3" s="12"/>
      <c r="T3" s="22"/>
      <c r="U3" s="22"/>
      <c r="V3" s="14"/>
      <c r="W3" s="24"/>
      <c r="X3" s="209"/>
      <c r="Y3" s="209"/>
      <c r="Z3" s="27"/>
      <c r="AA3" s="27"/>
      <c r="AB3" s="28"/>
      <c r="AC3" s="28"/>
      <c r="AD3" s="30"/>
      <c r="AE3" s="31"/>
      <c r="AF3" s="31"/>
      <c r="AG3" s="32"/>
      <c r="AH3" s="33"/>
      <c r="AI3" s="33"/>
      <c r="AJ3" s="33"/>
      <c r="AK3" s="34"/>
      <c r="AL3" s="36"/>
      <c r="AM3" s="36"/>
      <c r="AN3" s="36"/>
      <c r="AO3" s="32"/>
      <c r="AP3" s="40"/>
      <c r="AQ3" s="41"/>
      <c r="AR3" s="222"/>
      <c r="AS3" s="40"/>
      <c r="AT3" s="46"/>
      <c r="AU3" s="170"/>
      <c r="AV3" s="170"/>
    </row>
    <row r="4" s="78" customFormat="1" ht="40.5" hidden="1" customHeight="1" spans="1:48">
      <c r="A4" s="3" t="s">
        <v>55</v>
      </c>
      <c r="B4" s="60" t="s">
        <v>47</v>
      </c>
      <c r="C4" s="5" t="s">
        <v>48</v>
      </c>
      <c r="D4" s="6">
        <v>46057</v>
      </c>
      <c r="E4" s="237" t="s">
        <v>56</v>
      </c>
      <c r="F4" s="284"/>
      <c r="G4" s="239" t="s">
        <v>50</v>
      </c>
      <c r="H4" s="3" t="s">
        <v>51</v>
      </c>
      <c r="I4" s="316" t="s">
        <v>57</v>
      </c>
      <c r="J4" s="9" t="s">
        <v>58</v>
      </c>
      <c r="K4" s="10" t="s">
        <v>54</v>
      </c>
      <c r="L4" s="11">
        <v>5</v>
      </c>
      <c r="M4" s="11">
        <v>105.6</v>
      </c>
      <c r="N4" s="18">
        <v>433117</v>
      </c>
      <c r="O4" s="203"/>
      <c r="P4" s="18"/>
      <c r="Q4" s="10"/>
      <c r="R4" s="21">
        <v>1</v>
      </c>
      <c r="S4" s="12"/>
      <c r="T4" s="22"/>
      <c r="U4" s="22"/>
      <c r="V4" s="14"/>
      <c r="W4" s="24"/>
      <c r="X4" s="209"/>
      <c r="Y4" s="209"/>
      <c r="Z4" s="27"/>
      <c r="AA4" s="27"/>
      <c r="AB4" s="28"/>
      <c r="AC4" s="28"/>
      <c r="AD4" s="30"/>
      <c r="AE4" s="31"/>
      <c r="AF4" s="31"/>
      <c r="AG4" s="32"/>
      <c r="AH4" s="33"/>
      <c r="AI4" s="33"/>
      <c r="AJ4" s="33"/>
      <c r="AK4" s="34"/>
      <c r="AL4" s="36"/>
      <c r="AM4" s="36"/>
      <c r="AN4" s="36"/>
      <c r="AO4" s="32"/>
      <c r="AP4" s="40"/>
      <c r="AQ4" s="41"/>
      <c r="AR4" s="222"/>
      <c r="AS4" s="40"/>
      <c r="AT4" s="46"/>
      <c r="AU4" s="170"/>
      <c r="AV4" s="170"/>
    </row>
    <row r="5" s="78" customFormat="1" ht="40.5" hidden="1" customHeight="1" spans="1:48">
      <c r="A5" s="3" t="s">
        <v>59</v>
      </c>
      <c r="B5" s="60" t="s">
        <v>60</v>
      </c>
      <c r="C5" s="5" t="s">
        <v>48</v>
      </c>
      <c r="D5" s="6">
        <v>46057</v>
      </c>
      <c r="E5" s="3" t="s">
        <v>61</v>
      </c>
      <c r="F5" s="3"/>
      <c r="G5" s="3" t="s">
        <v>50</v>
      </c>
      <c r="H5" s="3" t="s">
        <v>62</v>
      </c>
      <c r="I5" s="240" t="s">
        <v>63</v>
      </c>
      <c r="J5" s="9" t="s">
        <v>64</v>
      </c>
      <c r="K5" s="10" t="s">
        <v>65</v>
      </c>
      <c r="L5" s="11">
        <v>1</v>
      </c>
      <c r="M5" s="11">
        <v>186</v>
      </c>
      <c r="N5" s="18">
        <v>98379</v>
      </c>
      <c r="O5" s="203"/>
      <c r="P5" s="18"/>
      <c r="Q5" s="10"/>
      <c r="R5" s="21">
        <v>1</v>
      </c>
      <c r="S5" s="12"/>
      <c r="T5" s="22"/>
      <c r="U5" s="22"/>
      <c r="V5" s="14" t="s">
        <v>66</v>
      </c>
      <c r="W5" s="24" t="s">
        <v>67</v>
      </c>
      <c r="X5" s="209" t="s">
        <v>68</v>
      </c>
      <c r="Y5" s="209" t="s">
        <v>69</v>
      </c>
      <c r="Z5" s="27"/>
      <c r="AA5" s="27"/>
      <c r="AB5" s="28"/>
      <c r="AC5" s="28"/>
      <c r="AD5" s="30"/>
      <c r="AE5" s="31"/>
      <c r="AF5" s="31"/>
      <c r="AG5" s="32"/>
      <c r="AH5" s="33"/>
      <c r="AI5" s="33"/>
      <c r="AJ5" s="33"/>
      <c r="AK5" s="34"/>
      <c r="AL5" s="36"/>
      <c r="AM5" s="36"/>
      <c r="AN5" s="36"/>
      <c r="AO5" s="32"/>
      <c r="AP5" s="40">
        <v>50000</v>
      </c>
      <c r="AQ5" s="41">
        <v>46094</v>
      </c>
      <c r="AR5" s="222"/>
      <c r="AS5" s="40"/>
      <c r="AT5" s="46"/>
      <c r="AU5" s="170"/>
      <c r="AV5" s="170"/>
    </row>
    <row r="6" s="78" customFormat="1" ht="40.5" hidden="1" customHeight="1" spans="1:48">
      <c r="A6" s="3" t="s">
        <v>70</v>
      </c>
      <c r="B6" s="60" t="s">
        <v>60</v>
      </c>
      <c r="C6" s="5" t="s">
        <v>48</v>
      </c>
      <c r="D6" s="190">
        <v>46114</v>
      </c>
      <c r="E6" s="3" t="s">
        <v>71</v>
      </c>
      <c r="F6" s="3"/>
      <c r="G6" s="3" t="s">
        <v>50</v>
      </c>
      <c r="H6" s="3" t="s">
        <v>62</v>
      </c>
      <c r="I6" s="243">
        <v>768261890</v>
      </c>
      <c r="J6" s="9" t="s">
        <v>64</v>
      </c>
      <c r="K6" s="10" t="s">
        <v>72</v>
      </c>
      <c r="L6" s="11">
        <v>1</v>
      </c>
      <c r="M6" s="11">
        <v>186</v>
      </c>
      <c r="N6" s="18">
        <v>97342</v>
      </c>
      <c r="O6" s="203"/>
      <c r="P6" s="18"/>
      <c r="Q6" s="10"/>
      <c r="R6" s="21">
        <v>1</v>
      </c>
      <c r="S6" s="12"/>
      <c r="T6" s="22"/>
      <c r="U6" s="22"/>
      <c r="V6" s="14" t="s">
        <v>66</v>
      </c>
      <c r="W6" s="24" t="s">
        <v>67</v>
      </c>
      <c r="X6" s="209" t="s">
        <v>68</v>
      </c>
      <c r="Y6" s="209" t="s">
        <v>73</v>
      </c>
      <c r="Z6" s="27"/>
      <c r="AA6" s="27"/>
      <c r="AB6" s="28"/>
      <c r="AC6" s="28"/>
      <c r="AD6" s="30"/>
      <c r="AE6" s="31"/>
      <c r="AF6" s="31"/>
      <c r="AG6" s="32"/>
      <c r="AH6" s="33"/>
      <c r="AI6" s="33"/>
      <c r="AJ6" s="33"/>
      <c r="AK6" s="34"/>
      <c r="AL6" s="36"/>
      <c r="AM6" s="36"/>
      <c r="AN6" s="36"/>
      <c r="AO6" s="32"/>
      <c r="AP6" s="40">
        <v>50000</v>
      </c>
      <c r="AQ6" s="41">
        <v>46094</v>
      </c>
      <c r="AR6" s="222"/>
      <c r="AS6" s="40"/>
      <c r="AT6" s="46"/>
      <c r="AU6" s="170"/>
      <c r="AV6" s="170"/>
    </row>
    <row r="7" s="78" customFormat="1" ht="40.5" hidden="1" customHeight="1" spans="1:48">
      <c r="A7" s="3" t="s">
        <v>74</v>
      </c>
      <c r="B7" s="60" t="s">
        <v>60</v>
      </c>
      <c r="C7" s="5" t="s">
        <v>48</v>
      </c>
      <c r="D7" s="6">
        <v>46057</v>
      </c>
      <c r="E7" s="3" t="s">
        <v>75</v>
      </c>
      <c r="F7" s="3"/>
      <c r="G7" s="3" t="s">
        <v>50</v>
      </c>
      <c r="H7" s="3" t="s">
        <v>76</v>
      </c>
      <c r="I7" s="244">
        <v>769838264</v>
      </c>
      <c r="J7" s="9" t="s">
        <v>77</v>
      </c>
      <c r="K7" s="10" t="s">
        <v>78</v>
      </c>
      <c r="L7" s="11">
        <v>1</v>
      </c>
      <c r="M7" s="11">
        <v>229</v>
      </c>
      <c r="N7" s="246">
        <v>113479</v>
      </c>
      <c r="O7" s="247"/>
      <c r="P7" s="18"/>
      <c r="Q7" s="10"/>
      <c r="R7" s="21">
        <v>1</v>
      </c>
      <c r="S7" s="12"/>
      <c r="T7" s="22"/>
      <c r="U7" s="22"/>
      <c r="V7" s="14" t="s">
        <v>66</v>
      </c>
      <c r="W7" s="24" t="s">
        <v>79</v>
      </c>
      <c r="X7" s="209" t="s">
        <v>80</v>
      </c>
      <c r="Y7" s="209" t="s">
        <v>81</v>
      </c>
      <c r="Z7" s="27"/>
      <c r="AA7" s="27"/>
      <c r="AB7" s="28"/>
      <c r="AC7" s="28"/>
      <c r="AD7" s="30"/>
      <c r="AE7" s="31"/>
      <c r="AF7" s="31"/>
      <c r="AG7" s="32"/>
      <c r="AH7" s="33"/>
      <c r="AI7" s="33"/>
      <c r="AJ7" s="33"/>
      <c r="AK7" s="34"/>
      <c r="AL7" s="36"/>
      <c r="AM7" s="36"/>
      <c r="AN7" s="36"/>
      <c r="AO7" s="32"/>
      <c r="AP7" s="40">
        <v>60000</v>
      </c>
      <c r="AQ7" s="41">
        <v>46095</v>
      </c>
      <c r="AR7" s="222">
        <v>-53479</v>
      </c>
      <c r="AS7" s="40"/>
      <c r="AT7" s="46" t="s">
        <v>82</v>
      </c>
      <c r="AU7" s="170"/>
      <c r="AV7" s="170"/>
    </row>
    <row r="8" ht="58" hidden="1" customHeight="1" spans="1:46">
      <c r="A8" s="187" t="s">
        <v>83</v>
      </c>
      <c r="B8" s="4" t="s">
        <v>84</v>
      </c>
      <c r="C8" s="5" t="s">
        <v>48</v>
      </c>
      <c r="D8" s="6">
        <v>46057</v>
      </c>
      <c r="E8" s="3" t="s">
        <v>85</v>
      </c>
      <c r="F8" s="3"/>
      <c r="G8" s="3" t="s">
        <v>86</v>
      </c>
      <c r="H8" s="3" t="s">
        <v>87</v>
      </c>
      <c r="I8" s="317" t="s">
        <v>88</v>
      </c>
      <c r="J8" s="9" t="s">
        <v>89</v>
      </c>
      <c r="K8" s="10" t="s">
        <v>90</v>
      </c>
      <c r="L8" s="11">
        <v>5</v>
      </c>
      <c r="M8" s="11">
        <v>4.5</v>
      </c>
      <c r="N8" s="136">
        <v>55234</v>
      </c>
      <c r="O8" s="17"/>
      <c r="P8" s="18"/>
      <c r="Q8" s="10"/>
      <c r="R8" s="21"/>
      <c r="S8" s="12"/>
      <c r="T8" s="22"/>
      <c r="U8" s="22"/>
      <c r="V8" s="14" t="s">
        <v>85</v>
      </c>
      <c r="W8" s="24" t="s">
        <v>91</v>
      </c>
      <c r="X8" s="209" t="s">
        <v>81</v>
      </c>
      <c r="Y8" s="209" t="s">
        <v>92</v>
      </c>
      <c r="Z8" s="27"/>
      <c r="AA8" s="27"/>
      <c r="AB8" s="28"/>
      <c r="AC8" s="28"/>
      <c r="AD8" s="30"/>
      <c r="AE8" s="31"/>
      <c r="AF8" s="31"/>
      <c r="AG8" s="32"/>
      <c r="AH8" s="33"/>
      <c r="AI8" s="33"/>
      <c r="AJ8" s="33"/>
      <c r="AK8" s="34"/>
      <c r="AL8" s="36"/>
      <c r="AM8" s="36"/>
      <c r="AN8" s="36"/>
      <c r="AO8" s="32"/>
      <c r="AP8" s="40"/>
      <c r="AQ8" s="41"/>
      <c r="AR8" s="43"/>
      <c r="AS8" s="40"/>
      <c r="AT8" s="46"/>
    </row>
    <row r="9" s="78" customFormat="1" ht="40.5" hidden="1" customHeight="1" spans="1:492">
      <c r="A9" s="187" t="s">
        <v>93</v>
      </c>
      <c r="B9" s="60" t="s">
        <v>47</v>
      </c>
      <c r="C9" s="5" t="s">
        <v>48</v>
      </c>
      <c r="D9" s="6">
        <v>46057</v>
      </c>
      <c r="E9" s="3" t="s">
        <v>94</v>
      </c>
      <c r="F9" s="3"/>
      <c r="G9" s="3" t="s">
        <v>50</v>
      </c>
      <c r="H9" s="3" t="s">
        <v>95</v>
      </c>
      <c r="I9" s="244">
        <v>777550478</v>
      </c>
      <c r="J9" s="9" t="s">
        <v>96</v>
      </c>
      <c r="K9" s="10" t="s">
        <v>97</v>
      </c>
      <c r="L9" s="11">
        <v>1</v>
      </c>
      <c r="M9" s="11">
        <v>173.2</v>
      </c>
      <c r="N9" s="249">
        <v>101755</v>
      </c>
      <c r="O9" s="20"/>
      <c r="P9" s="18"/>
      <c r="Q9" s="10"/>
      <c r="R9" s="21">
        <v>1</v>
      </c>
      <c r="S9" s="12"/>
      <c r="T9" s="22"/>
      <c r="U9" s="22"/>
      <c r="V9" s="14" t="s">
        <v>66</v>
      </c>
      <c r="W9" s="24" t="s">
        <v>98</v>
      </c>
      <c r="X9" s="209" t="s">
        <v>99</v>
      </c>
      <c r="Y9" s="209" t="s">
        <v>100</v>
      </c>
      <c r="Z9" s="27"/>
      <c r="AA9" s="27"/>
      <c r="AB9" s="28"/>
      <c r="AC9" s="28"/>
      <c r="AD9" s="30"/>
      <c r="AE9" s="31"/>
      <c r="AF9" s="31"/>
      <c r="AG9" s="32"/>
      <c r="AH9" s="33"/>
      <c r="AI9" s="33"/>
      <c r="AJ9" s="33"/>
      <c r="AK9" s="34"/>
      <c r="AL9" s="36"/>
      <c r="AM9" s="36"/>
      <c r="AN9" s="36"/>
      <c r="AO9" s="32"/>
      <c r="AP9" s="40">
        <v>50000</v>
      </c>
      <c r="AQ9" s="41">
        <v>46091</v>
      </c>
      <c r="AR9" s="222">
        <v>-51755</v>
      </c>
      <c r="AS9" s="40"/>
      <c r="AT9" s="122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  <c r="EB9" s="170"/>
      <c r="EC9" s="170"/>
      <c r="ED9" s="170"/>
      <c r="EE9" s="170"/>
      <c r="EF9" s="170"/>
      <c r="EG9" s="170"/>
      <c r="EH9" s="170"/>
      <c r="EI9" s="170"/>
      <c r="EJ9" s="170"/>
      <c r="EK9" s="170"/>
      <c r="EL9" s="170"/>
      <c r="EM9" s="170"/>
      <c r="EN9" s="170"/>
      <c r="EO9" s="170"/>
      <c r="EP9" s="170"/>
      <c r="EQ9" s="170"/>
      <c r="ER9" s="170"/>
      <c r="ES9" s="170"/>
      <c r="ET9" s="170"/>
      <c r="EU9" s="170"/>
      <c r="EV9" s="170"/>
      <c r="EW9" s="170"/>
      <c r="EX9" s="170"/>
      <c r="EY9" s="170"/>
      <c r="EZ9" s="170"/>
      <c r="FA9" s="170"/>
      <c r="FB9" s="170"/>
      <c r="FC9" s="170"/>
      <c r="FD9" s="170"/>
      <c r="FE9" s="170"/>
      <c r="FF9" s="170"/>
      <c r="FG9" s="170"/>
      <c r="FH9" s="170"/>
      <c r="FI9" s="170"/>
      <c r="FJ9" s="170"/>
      <c r="FK9" s="170"/>
      <c r="FL9" s="170"/>
      <c r="FM9" s="170"/>
      <c r="FN9" s="170"/>
      <c r="FO9" s="170"/>
      <c r="FP9" s="170"/>
      <c r="FQ9" s="170"/>
      <c r="FR9" s="170"/>
      <c r="FS9" s="170"/>
      <c r="FT9" s="170"/>
      <c r="FU9" s="170"/>
      <c r="FV9" s="170"/>
      <c r="FW9" s="170"/>
      <c r="FX9" s="170"/>
      <c r="FY9" s="170"/>
      <c r="FZ9" s="170"/>
      <c r="GA9" s="170"/>
      <c r="GB9" s="170"/>
      <c r="GC9" s="170"/>
      <c r="GD9" s="170"/>
      <c r="GE9" s="170"/>
      <c r="GF9" s="170"/>
      <c r="GG9" s="170"/>
      <c r="GH9" s="170"/>
      <c r="GI9" s="170"/>
      <c r="GJ9" s="170"/>
      <c r="GK9" s="170"/>
      <c r="GL9" s="170"/>
      <c r="GM9" s="170"/>
      <c r="GN9" s="170"/>
      <c r="GO9" s="170"/>
      <c r="GP9" s="170"/>
      <c r="GQ9" s="170"/>
      <c r="GR9" s="170"/>
      <c r="GS9" s="170"/>
      <c r="GT9" s="170"/>
      <c r="GU9" s="170"/>
      <c r="GV9" s="170"/>
      <c r="GW9" s="170"/>
      <c r="GX9" s="170"/>
      <c r="GY9" s="170"/>
      <c r="GZ9" s="170"/>
      <c r="HA9" s="170"/>
      <c r="HB9" s="170"/>
      <c r="HC9" s="170"/>
      <c r="HD9" s="170"/>
      <c r="HE9" s="170"/>
      <c r="HF9" s="170"/>
      <c r="HG9" s="170"/>
      <c r="HH9" s="170"/>
      <c r="HI9" s="170"/>
      <c r="HJ9" s="170"/>
      <c r="HK9" s="170"/>
      <c r="HL9" s="170"/>
      <c r="HM9" s="170"/>
      <c r="HN9" s="170"/>
      <c r="HO9" s="170"/>
      <c r="HP9" s="170"/>
      <c r="HQ9" s="170"/>
      <c r="HR9" s="170"/>
      <c r="HS9" s="170"/>
      <c r="HT9" s="170"/>
      <c r="HU9" s="170"/>
      <c r="HV9" s="170"/>
      <c r="HW9" s="170"/>
      <c r="HX9" s="170"/>
      <c r="HY9" s="170"/>
      <c r="HZ9" s="170"/>
      <c r="IA9" s="170"/>
      <c r="IB9" s="170"/>
      <c r="IC9" s="170"/>
      <c r="ID9" s="170"/>
      <c r="IE9" s="170"/>
      <c r="IF9" s="170"/>
      <c r="IG9" s="170"/>
      <c r="IH9" s="170"/>
      <c r="II9" s="170"/>
      <c r="IJ9" s="170"/>
      <c r="IK9" s="170"/>
      <c r="IL9" s="170"/>
      <c r="IM9" s="170"/>
      <c r="IN9" s="170"/>
      <c r="IO9" s="170"/>
      <c r="IP9" s="170"/>
      <c r="IQ9" s="170"/>
      <c r="IR9" s="170"/>
      <c r="IS9" s="170"/>
      <c r="IT9" s="170"/>
      <c r="IU9" s="170"/>
      <c r="IV9" s="170"/>
      <c r="IW9" s="170"/>
      <c r="IX9" s="170"/>
      <c r="IY9" s="170"/>
      <c r="IZ9" s="170"/>
      <c r="JA9" s="170"/>
      <c r="JB9" s="170"/>
      <c r="JC9" s="170"/>
      <c r="JD9" s="170"/>
      <c r="JE9" s="170"/>
      <c r="JF9" s="170"/>
      <c r="JG9" s="170"/>
      <c r="JH9" s="170"/>
      <c r="JI9" s="170"/>
      <c r="JJ9" s="170"/>
      <c r="JK9" s="170"/>
      <c r="JL9" s="170"/>
      <c r="JM9" s="170"/>
      <c r="JN9" s="170"/>
      <c r="JO9" s="170"/>
      <c r="JP9" s="170"/>
      <c r="JQ9" s="170"/>
      <c r="JR9" s="170"/>
      <c r="JS9" s="170"/>
      <c r="JT9" s="170"/>
      <c r="JU9" s="170"/>
      <c r="JV9" s="170"/>
      <c r="JW9" s="170"/>
      <c r="JX9" s="170"/>
      <c r="JY9" s="170"/>
      <c r="JZ9" s="170"/>
      <c r="KA9" s="170"/>
      <c r="KB9" s="170"/>
      <c r="KC9" s="170"/>
      <c r="KD9" s="170"/>
      <c r="KE9" s="170"/>
      <c r="KF9" s="170"/>
      <c r="KG9" s="170"/>
      <c r="KH9" s="170"/>
      <c r="KI9" s="170"/>
      <c r="KJ9" s="170"/>
      <c r="KK9" s="170"/>
      <c r="KL9" s="170"/>
      <c r="KM9" s="170"/>
      <c r="KN9" s="170"/>
      <c r="KO9" s="170"/>
      <c r="KP9" s="170"/>
      <c r="KQ9" s="170"/>
      <c r="KR9" s="170"/>
      <c r="KS9" s="170"/>
      <c r="KT9" s="170"/>
      <c r="KU9" s="170"/>
      <c r="KV9" s="170"/>
      <c r="KW9" s="170"/>
      <c r="KX9" s="170"/>
      <c r="KY9" s="170"/>
      <c r="KZ9" s="170"/>
      <c r="LA9" s="170"/>
      <c r="LB9" s="170"/>
      <c r="LC9" s="170"/>
      <c r="LD9" s="170"/>
      <c r="LE9" s="170"/>
      <c r="LF9" s="170"/>
      <c r="LG9" s="170"/>
      <c r="LH9" s="170"/>
      <c r="LI9" s="170"/>
      <c r="LJ9" s="170"/>
      <c r="LK9" s="170"/>
      <c r="LL9" s="170"/>
      <c r="LM9" s="170"/>
      <c r="LN9" s="170"/>
      <c r="LO9" s="170"/>
      <c r="LP9" s="170"/>
      <c r="LQ9" s="170"/>
      <c r="LR9" s="170"/>
      <c r="LS9" s="170"/>
      <c r="LT9" s="170"/>
      <c r="LU9" s="170"/>
      <c r="LV9" s="170"/>
      <c r="LW9" s="170"/>
      <c r="LX9" s="170"/>
      <c r="LY9" s="170"/>
      <c r="LZ9" s="170"/>
      <c r="MA9" s="170"/>
      <c r="MB9" s="170"/>
      <c r="MC9" s="170"/>
      <c r="MD9" s="170"/>
      <c r="ME9" s="170"/>
      <c r="MF9" s="170"/>
      <c r="MG9" s="170"/>
      <c r="MH9" s="170"/>
      <c r="MI9" s="170"/>
      <c r="MJ9" s="170"/>
      <c r="MK9" s="170"/>
      <c r="ML9" s="170"/>
      <c r="MM9" s="170"/>
      <c r="MN9" s="170"/>
      <c r="MO9" s="170"/>
      <c r="MP9" s="170"/>
      <c r="MQ9" s="170"/>
      <c r="MR9" s="170"/>
      <c r="MS9" s="170"/>
      <c r="MT9" s="170"/>
      <c r="MU9" s="170"/>
      <c r="MV9" s="170"/>
      <c r="MW9" s="170"/>
      <c r="MX9" s="170"/>
      <c r="MY9" s="170"/>
      <c r="MZ9" s="170"/>
      <c r="NA9" s="170"/>
      <c r="NB9" s="170"/>
      <c r="NC9" s="170"/>
      <c r="ND9" s="170"/>
      <c r="NE9" s="170"/>
      <c r="NF9" s="170"/>
      <c r="NG9" s="170"/>
      <c r="NH9" s="170"/>
      <c r="NI9" s="170"/>
      <c r="NJ9" s="170"/>
      <c r="NK9" s="170"/>
      <c r="NL9" s="170"/>
      <c r="NM9" s="170"/>
      <c r="NN9" s="170"/>
      <c r="NO9" s="170"/>
      <c r="NP9" s="170"/>
      <c r="NQ9" s="170"/>
      <c r="NR9" s="170"/>
      <c r="NS9" s="170"/>
      <c r="NT9" s="170"/>
      <c r="NU9" s="170"/>
      <c r="NV9" s="170"/>
      <c r="NW9" s="170"/>
      <c r="NX9" s="170"/>
      <c r="NY9" s="170"/>
      <c r="NZ9" s="170"/>
      <c r="OA9" s="170"/>
      <c r="OB9" s="170"/>
      <c r="OC9" s="170"/>
      <c r="OD9" s="170"/>
      <c r="OE9" s="170"/>
      <c r="OF9" s="170"/>
      <c r="OG9" s="170"/>
      <c r="OH9" s="170"/>
      <c r="OI9" s="170"/>
      <c r="OJ9" s="170"/>
      <c r="OK9" s="170"/>
      <c r="OL9" s="170"/>
      <c r="OM9" s="170"/>
      <c r="ON9" s="170"/>
      <c r="OO9" s="170"/>
      <c r="OP9" s="170"/>
      <c r="OQ9" s="170"/>
      <c r="OR9" s="170"/>
      <c r="OS9" s="170"/>
      <c r="OT9" s="170"/>
      <c r="OU9" s="170"/>
      <c r="OV9" s="170"/>
      <c r="OW9" s="170"/>
      <c r="OX9" s="170"/>
      <c r="OY9" s="170"/>
      <c r="OZ9" s="170"/>
      <c r="PA9" s="170"/>
      <c r="PB9" s="170"/>
      <c r="PC9" s="170"/>
      <c r="PD9" s="170"/>
      <c r="PE9" s="170"/>
      <c r="PF9" s="170"/>
      <c r="PG9" s="170"/>
      <c r="PH9" s="170"/>
      <c r="PI9" s="170"/>
      <c r="PJ9" s="170"/>
      <c r="PK9" s="170"/>
      <c r="PL9" s="170"/>
      <c r="PM9" s="170"/>
      <c r="PN9" s="170"/>
      <c r="PO9" s="170"/>
      <c r="PP9" s="170"/>
      <c r="PQ9" s="170"/>
      <c r="PR9" s="170"/>
      <c r="PS9" s="170"/>
      <c r="PT9" s="170"/>
      <c r="PU9" s="170"/>
      <c r="PV9" s="170"/>
      <c r="PW9" s="170"/>
      <c r="PX9" s="170"/>
      <c r="PY9" s="170"/>
      <c r="PZ9" s="170"/>
      <c r="QA9" s="170"/>
      <c r="QB9" s="170"/>
      <c r="QC9" s="170"/>
      <c r="QD9" s="170"/>
      <c r="QE9" s="170"/>
      <c r="QF9" s="170"/>
      <c r="QG9" s="170"/>
      <c r="QH9" s="170"/>
      <c r="QI9" s="170"/>
      <c r="QJ9" s="170"/>
      <c r="QK9" s="170"/>
      <c r="QL9" s="170"/>
      <c r="QM9" s="170"/>
      <c r="QN9" s="170"/>
      <c r="QO9" s="170"/>
      <c r="QP9" s="170"/>
      <c r="QQ9" s="170"/>
      <c r="QR9" s="170"/>
      <c r="QS9" s="170"/>
      <c r="QT9" s="170"/>
      <c r="QU9" s="170"/>
      <c r="QV9" s="170"/>
      <c r="QW9" s="170"/>
      <c r="QX9" s="170"/>
      <c r="QY9" s="170"/>
      <c r="QZ9" s="170"/>
      <c r="RA9" s="170"/>
      <c r="RB9" s="170"/>
      <c r="RC9" s="170"/>
      <c r="RD9" s="170"/>
      <c r="RE9" s="170"/>
      <c r="RF9" s="170"/>
      <c r="RG9" s="170"/>
      <c r="RH9" s="170"/>
      <c r="RI9" s="170"/>
      <c r="RJ9" s="170"/>
      <c r="RK9" s="170"/>
      <c r="RL9" s="170"/>
      <c r="RM9" s="170"/>
      <c r="RN9" s="170"/>
      <c r="RO9" s="170"/>
      <c r="RP9" s="170"/>
      <c r="RQ9" s="170"/>
      <c r="RR9" s="170"/>
      <c r="RS9" s="170"/>
      <c r="RT9" s="170"/>
      <c r="RU9" s="170"/>
      <c r="RV9" s="170"/>
      <c r="RW9" s="170"/>
      <c r="RX9" s="170"/>
    </row>
    <row r="10" customFormat="1" ht="69" hidden="1" customHeight="1" spans="1:46">
      <c r="A10" s="187" t="s">
        <v>101</v>
      </c>
      <c r="B10" s="4" t="s">
        <v>84</v>
      </c>
      <c r="C10" s="5" t="s">
        <v>102</v>
      </c>
      <c r="D10" s="6" t="s">
        <v>103</v>
      </c>
      <c r="E10" s="3" t="s">
        <v>104</v>
      </c>
      <c r="F10" s="3" t="s">
        <v>105</v>
      </c>
      <c r="G10" s="3" t="s">
        <v>50</v>
      </c>
      <c r="H10" s="3" t="s">
        <v>106</v>
      </c>
      <c r="I10" s="316" t="s">
        <v>107</v>
      </c>
      <c r="J10" s="9" t="s">
        <v>108</v>
      </c>
      <c r="K10" s="10" t="s">
        <v>109</v>
      </c>
      <c r="L10" s="11">
        <v>1</v>
      </c>
      <c r="M10" s="11">
        <v>350.9</v>
      </c>
      <c r="N10" s="19">
        <v>225693</v>
      </c>
      <c r="O10" s="20"/>
      <c r="P10" s="18"/>
      <c r="Q10" s="10"/>
      <c r="R10" s="21"/>
      <c r="S10" s="12" t="s">
        <v>110</v>
      </c>
      <c r="T10" s="22" t="s">
        <v>111</v>
      </c>
      <c r="U10" s="22" t="s">
        <v>112</v>
      </c>
      <c r="V10" s="14" t="s">
        <v>104</v>
      </c>
      <c r="W10" s="24" t="s">
        <v>113</v>
      </c>
      <c r="X10" s="209" t="s">
        <v>73</v>
      </c>
      <c r="Y10" s="209" t="s">
        <v>114</v>
      </c>
      <c r="Z10" s="27"/>
      <c r="AA10" s="27"/>
      <c r="AB10" s="28"/>
      <c r="AC10" s="28"/>
      <c r="AD10" s="30"/>
      <c r="AE10" s="31"/>
      <c r="AF10" s="31"/>
      <c r="AG10" s="32"/>
      <c r="AH10" s="33"/>
      <c r="AI10" s="33"/>
      <c r="AJ10" s="33"/>
      <c r="AK10" s="34"/>
      <c r="AL10" s="36"/>
      <c r="AM10" s="36"/>
      <c r="AN10" s="36"/>
      <c r="AO10" s="32"/>
      <c r="AP10" s="40">
        <v>225693</v>
      </c>
      <c r="AQ10" s="41" t="s">
        <v>115</v>
      </c>
      <c r="AR10" s="43"/>
      <c r="AS10" s="40"/>
      <c r="AT10" s="46" t="s">
        <v>116</v>
      </c>
    </row>
    <row r="11" customFormat="1" ht="53" hidden="1" customHeight="1" spans="1:46">
      <c r="A11" s="3" t="s">
        <v>117</v>
      </c>
      <c r="B11" s="4" t="s">
        <v>84</v>
      </c>
      <c r="C11" s="5" t="s">
        <v>48</v>
      </c>
      <c r="D11" s="6">
        <v>46085</v>
      </c>
      <c r="E11" s="3" t="s">
        <v>118</v>
      </c>
      <c r="F11" s="3" t="s">
        <v>119</v>
      </c>
      <c r="G11" s="3" t="s">
        <v>50</v>
      </c>
      <c r="H11" s="3" t="s">
        <v>120</v>
      </c>
      <c r="I11" s="242">
        <v>777282638</v>
      </c>
      <c r="J11" s="9" t="s">
        <v>121</v>
      </c>
      <c r="K11" s="10" t="s">
        <v>122</v>
      </c>
      <c r="L11" s="11">
        <v>1</v>
      </c>
      <c r="M11" s="11">
        <v>96.2</v>
      </c>
      <c r="N11" s="18">
        <v>32713</v>
      </c>
      <c r="O11" s="203"/>
      <c r="P11" s="18"/>
      <c r="Q11" s="10"/>
      <c r="R11" s="21">
        <v>1</v>
      </c>
      <c r="S11" s="12" t="s">
        <v>123</v>
      </c>
      <c r="T11" s="22" t="s">
        <v>124</v>
      </c>
      <c r="U11" s="22"/>
      <c r="V11" s="14" t="s">
        <v>125</v>
      </c>
      <c r="W11" s="24" t="s">
        <v>126</v>
      </c>
      <c r="X11" s="209" t="s">
        <v>100</v>
      </c>
      <c r="Y11" s="209" t="s">
        <v>127</v>
      </c>
      <c r="Z11" s="27"/>
      <c r="AA11" s="27"/>
      <c r="AB11" s="28"/>
      <c r="AC11" s="28"/>
      <c r="AD11" s="30"/>
      <c r="AE11" s="31"/>
      <c r="AF11" s="31"/>
      <c r="AG11" s="32"/>
      <c r="AH11" s="33"/>
      <c r="AI11" s="33"/>
      <c r="AJ11" s="33"/>
      <c r="AK11" s="34"/>
      <c r="AL11" s="36"/>
      <c r="AM11" s="36"/>
      <c r="AN11" s="36"/>
      <c r="AO11" s="32"/>
      <c r="AP11" s="40">
        <v>15000</v>
      </c>
      <c r="AQ11" s="41">
        <v>46090</v>
      </c>
      <c r="AR11" s="43">
        <v>17713</v>
      </c>
      <c r="AS11" s="40"/>
      <c r="AT11" s="46" t="s">
        <v>116</v>
      </c>
    </row>
    <row r="12" customFormat="1" ht="90" hidden="1" customHeight="1" spans="1:46">
      <c r="A12" s="3" t="s">
        <v>128</v>
      </c>
      <c r="B12" s="4" t="s">
        <v>84</v>
      </c>
      <c r="C12" s="5" t="s">
        <v>48</v>
      </c>
      <c r="D12" s="6" t="s">
        <v>129</v>
      </c>
      <c r="E12" s="3" t="s">
        <v>130</v>
      </c>
      <c r="F12" s="3" t="s">
        <v>131</v>
      </c>
      <c r="G12" s="3" t="s">
        <v>50</v>
      </c>
      <c r="H12" s="3" t="s">
        <v>132</v>
      </c>
      <c r="I12" s="316" t="s">
        <v>133</v>
      </c>
      <c r="J12" s="9" t="s">
        <v>134</v>
      </c>
      <c r="K12" s="10" t="s">
        <v>135</v>
      </c>
      <c r="L12" s="11">
        <v>1</v>
      </c>
      <c r="M12" s="11">
        <v>477.2</v>
      </c>
      <c r="N12" s="250">
        <v>211616</v>
      </c>
      <c r="O12" s="247"/>
      <c r="P12" s="18"/>
      <c r="Q12" s="10"/>
      <c r="R12" s="21">
        <v>2</v>
      </c>
      <c r="S12" s="12" t="s">
        <v>136</v>
      </c>
      <c r="T12" s="13" t="s">
        <v>137</v>
      </c>
      <c r="U12" s="22" t="s">
        <v>138</v>
      </c>
      <c r="V12" s="14" t="s">
        <v>139</v>
      </c>
      <c r="W12" s="24" t="s">
        <v>140</v>
      </c>
      <c r="X12" s="25" t="s">
        <v>100</v>
      </c>
      <c r="Y12" s="25" t="s">
        <v>141</v>
      </c>
      <c r="Z12" s="27"/>
      <c r="AA12" s="27"/>
      <c r="AB12" s="28"/>
      <c r="AC12" s="28"/>
      <c r="AD12" s="30"/>
      <c r="AE12" s="31"/>
      <c r="AF12" s="31"/>
      <c r="AG12" s="32"/>
      <c r="AH12" s="33"/>
      <c r="AI12" s="33"/>
      <c r="AJ12" s="33"/>
      <c r="AK12" s="34"/>
      <c r="AL12" s="36"/>
      <c r="AM12" s="36"/>
      <c r="AN12" s="36"/>
      <c r="AO12" s="32"/>
      <c r="AP12" s="299">
        <v>211616</v>
      </c>
      <c r="AQ12" s="300" t="s">
        <v>142</v>
      </c>
      <c r="AR12" s="43"/>
      <c r="AS12" s="40"/>
      <c r="AT12" s="46" t="s">
        <v>116</v>
      </c>
    </row>
    <row r="13" customFormat="1" ht="59" hidden="1" customHeight="1" spans="1:46">
      <c r="A13" s="3" t="s">
        <v>143</v>
      </c>
      <c r="B13" s="4" t="s">
        <v>84</v>
      </c>
      <c r="C13" s="5" t="s">
        <v>48</v>
      </c>
      <c r="D13" s="6">
        <v>46116</v>
      </c>
      <c r="E13" s="3" t="s">
        <v>144</v>
      </c>
      <c r="F13" s="3"/>
      <c r="G13" s="3" t="s">
        <v>86</v>
      </c>
      <c r="H13" s="3" t="s">
        <v>145</v>
      </c>
      <c r="I13" s="316" t="s">
        <v>146</v>
      </c>
      <c r="J13" s="9" t="s">
        <v>147</v>
      </c>
      <c r="K13" s="10" t="s">
        <v>90</v>
      </c>
      <c r="L13" s="11">
        <v>2</v>
      </c>
      <c r="M13" s="11">
        <v>22</v>
      </c>
      <c r="N13" s="16">
        <v>42870</v>
      </c>
      <c r="O13" s="17"/>
      <c r="P13" s="18"/>
      <c r="Q13" s="10"/>
      <c r="R13" s="21">
        <v>1</v>
      </c>
      <c r="S13" s="14" t="s">
        <v>148</v>
      </c>
      <c r="T13" s="13" t="s">
        <v>149</v>
      </c>
      <c r="U13" s="22"/>
      <c r="V13" s="14"/>
      <c r="W13" s="24"/>
      <c r="X13" s="25"/>
      <c r="Y13" s="25"/>
      <c r="Z13" s="27"/>
      <c r="AA13" s="27"/>
      <c r="AB13" s="28"/>
      <c r="AC13" s="28"/>
      <c r="AD13" s="30"/>
      <c r="AE13" s="31"/>
      <c r="AF13" s="31"/>
      <c r="AG13" s="32"/>
      <c r="AH13" s="33"/>
      <c r="AI13" s="33"/>
      <c r="AJ13" s="33"/>
      <c r="AK13" s="34"/>
      <c r="AL13" s="36"/>
      <c r="AM13" s="36"/>
      <c r="AN13" s="36"/>
      <c r="AO13" s="32"/>
      <c r="AP13" s="37"/>
      <c r="AQ13" s="38"/>
      <c r="AR13" s="39"/>
      <c r="AS13" s="37"/>
      <c r="AT13" s="44"/>
    </row>
    <row r="14" customFormat="1" ht="46" hidden="1" customHeight="1" spans="1:46">
      <c r="A14" s="3" t="s">
        <v>150</v>
      </c>
      <c r="B14" s="4" t="s">
        <v>84</v>
      </c>
      <c r="C14" s="5" t="s">
        <v>48</v>
      </c>
      <c r="D14" s="6">
        <v>46116</v>
      </c>
      <c r="E14" s="3" t="s">
        <v>151</v>
      </c>
      <c r="F14" s="3" t="s">
        <v>119</v>
      </c>
      <c r="G14" s="3" t="s">
        <v>50</v>
      </c>
      <c r="H14" s="3" t="s">
        <v>152</v>
      </c>
      <c r="I14" s="288">
        <v>761393648</v>
      </c>
      <c r="J14" s="9" t="s">
        <v>153</v>
      </c>
      <c r="K14" s="10" t="s">
        <v>122</v>
      </c>
      <c r="L14" s="11">
        <v>1</v>
      </c>
      <c r="M14" s="11">
        <v>54.5</v>
      </c>
      <c r="N14" s="16">
        <v>32126</v>
      </c>
      <c r="O14" s="17"/>
      <c r="P14" s="18"/>
      <c r="Q14" s="10"/>
      <c r="R14" s="21">
        <v>1</v>
      </c>
      <c r="S14" s="12" t="s">
        <v>123</v>
      </c>
      <c r="T14" s="22" t="s">
        <v>124</v>
      </c>
      <c r="U14" s="22"/>
      <c r="V14" s="14"/>
      <c r="W14" s="24"/>
      <c r="X14" s="25" t="s">
        <v>154</v>
      </c>
      <c r="Y14" s="25" t="s">
        <v>155</v>
      </c>
      <c r="Z14" s="27"/>
      <c r="AA14" s="27"/>
      <c r="AB14" s="28"/>
      <c r="AC14" s="28"/>
      <c r="AD14" s="30"/>
      <c r="AE14" s="31"/>
      <c r="AF14" s="31"/>
      <c r="AG14" s="32"/>
      <c r="AH14" s="33"/>
      <c r="AI14" s="33"/>
      <c r="AJ14" s="33"/>
      <c r="AK14" s="34"/>
      <c r="AL14" s="36"/>
      <c r="AM14" s="36"/>
      <c r="AN14" s="36"/>
      <c r="AO14" s="32"/>
      <c r="AP14" s="37">
        <v>14063</v>
      </c>
      <c r="AQ14" s="38" t="s">
        <v>156</v>
      </c>
      <c r="AR14" s="39"/>
      <c r="AS14" s="37"/>
      <c r="AT14" s="44" t="s">
        <v>116</v>
      </c>
    </row>
    <row r="15" customFormat="1" ht="46" hidden="1" customHeight="1" spans="1:46">
      <c r="A15" s="3" t="s">
        <v>157</v>
      </c>
      <c r="B15" s="4" t="s">
        <v>60</v>
      </c>
      <c r="C15" s="5" t="s">
        <v>48</v>
      </c>
      <c r="D15" s="6">
        <v>46116</v>
      </c>
      <c r="E15" s="3" t="s">
        <v>158</v>
      </c>
      <c r="F15" s="3"/>
      <c r="G15" s="3" t="s">
        <v>86</v>
      </c>
      <c r="H15" s="3" t="s">
        <v>159</v>
      </c>
      <c r="I15" s="316" t="s">
        <v>160</v>
      </c>
      <c r="J15" s="9" t="s">
        <v>161</v>
      </c>
      <c r="K15" s="10" t="s">
        <v>90</v>
      </c>
      <c r="L15" s="11">
        <v>1</v>
      </c>
      <c r="M15" s="11">
        <v>93.6</v>
      </c>
      <c r="N15" s="16">
        <v>42233</v>
      </c>
      <c r="O15" s="17"/>
      <c r="P15" s="18"/>
      <c r="Q15" s="10"/>
      <c r="R15" s="21">
        <v>1</v>
      </c>
      <c r="S15" s="12"/>
      <c r="T15" s="22"/>
      <c r="U15" s="22"/>
      <c r="V15" s="14"/>
      <c r="W15" s="24"/>
      <c r="X15" s="25"/>
      <c r="Y15" s="25"/>
      <c r="Z15" s="27"/>
      <c r="AA15" s="27"/>
      <c r="AB15" s="28"/>
      <c r="AC15" s="28"/>
      <c r="AD15" s="30"/>
      <c r="AE15" s="31"/>
      <c r="AF15" s="31"/>
      <c r="AG15" s="32"/>
      <c r="AH15" s="33"/>
      <c r="AI15" s="33"/>
      <c r="AJ15" s="33"/>
      <c r="AK15" s="34"/>
      <c r="AL15" s="36"/>
      <c r="AM15" s="36"/>
      <c r="AN15" s="36"/>
      <c r="AO15" s="32"/>
      <c r="AP15" s="37"/>
      <c r="AQ15" s="38"/>
      <c r="AR15" s="39"/>
      <c r="AS15" s="37"/>
      <c r="AT15" s="44"/>
    </row>
    <row r="16" customFormat="1" ht="46" hidden="1" customHeight="1" spans="1:46">
      <c r="A16" s="3" t="s">
        <v>162</v>
      </c>
      <c r="B16" s="4" t="s">
        <v>84</v>
      </c>
      <c r="C16" s="5" t="s">
        <v>48</v>
      </c>
      <c r="D16" s="6" t="s">
        <v>163</v>
      </c>
      <c r="E16" s="3" t="s">
        <v>164</v>
      </c>
      <c r="F16" s="3" t="s">
        <v>131</v>
      </c>
      <c r="G16" s="3" t="s">
        <v>50</v>
      </c>
      <c r="H16" s="3" t="s">
        <v>165</v>
      </c>
      <c r="I16" s="318" t="s">
        <v>166</v>
      </c>
      <c r="J16" s="9" t="s">
        <v>167</v>
      </c>
      <c r="K16" s="10" t="s">
        <v>168</v>
      </c>
      <c r="L16" s="11">
        <v>2</v>
      </c>
      <c r="M16" s="11">
        <v>390</v>
      </c>
      <c r="N16" s="16">
        <v>439621</v>
      </c>
      <c r="O16" s="17"/>
      <c r="P16" s="18"/>
      <c r="Q16" s="10"/>
      <c r="R16" s="21">
        <v>1</v>
      </c>
      <c r="S16" s="14" t="s">
        <v>169</v>
      </c>
      <c r="T16" s="13" t="s">
        <v>170</v>
      </c>
      <c r="U16" s="22" t="s">
        <v>171</v>
      </c>
      <c r="V16" s="14" t="s">
        <v>172</v>
      </c>
      <c r="W16" s="24" t="s">
        <v>173</v>
      </c>
      <c r="X16" s="25" t="s">
        <v>174</v>
      </c>
      <c r="Y16" s="25" t="s">
        <v>68</v>
      </c>
      <c r="Z16" s="27"/>
      <c r="AA16" s="27"/>
      <c r="AB16" s="28"/>
      <c r="AC16" s="28"/>
      <c r="AD16" s="30"/>
      <c r="AE16" s="31"/>
      <c r="AF16" s="31"/>
      <c r="AG16" s="32"/>
      <c r="AH16" s="33"/>
      <c r="AI16" s="33"/>
      <c r="AJ16" s="33"/>
      <c r="AK16" s="34"/>
      <c r="AL16" s="36"/>
      <c r="AM16" s="36"/>
      <c r="AN16" s="36"/>
      <c r="AO16" s="32"/>
      <c r="AP16" s="37">
        <v>500000</v>
      </c>
      <c r="AQ16" s="38" t="s">
        <v>175</v>
      </c>
      <c r="AR16" s="39">
        <v>599053</v>
      </c>
      <c r="AS16" s="37"/>
      <c r="AT16" s="44" t="s">
        <v>116</v>
      </c>
    </row>
    <row r="17" ht="33" hidden="1" customHeight="1" spans="1:46">
      <c r="A17" s="3" t="s">
        <v>176</v>
      </c>
      <c r="B17" s="4" t="s">
        <v>84</v>
      </c>
      <c r="C17" s="5" t="s">
        <v>48</v>
      </c>
      <c r="D17" s="6" t="s">
        <v>177</v>
      </c>
      <c r="E17" s="3" t="s">
        <v>164</v>
      </c>
      <c r="F17" s="3" t="s">
        <v>131</v>
      </c>
      <c r="G17" s="3" t="s">
        <v>50</v>
      </c>
      <c r="H17" s="3" t="s">
        <v>165</v>
      </c>
      <c r="I17" s="318" t="s">
        <v>166</v>
      </c>
      <c r="J17" s="9" t="s">
        <v>167</v>
      </c>
      <c r="K17" s="10" t="s">
        <v>168</v>
      </c>
      <c r="L17" s="11">
        <v>3</v>
      </c>
      <c r="M17" s="11">
        <v>390</v>
      </c>
      <c r="N17" s="19">
        <v>659432</v>
      </c>
      <c r="O17" s="20"/>
      <c r="P17" s="18"/>
      <c r="Q17" s="10"/>
      <c r="R17" s="21">
        <v>1</v>
      </c>
      <c r="S17" s="12" t="s">
        <v>178</v>
      </c>
      <c r="T17" s="13" t="s">
        <v>179</v>
      </c>
      <c r="U17" s="22" t="s">
        <v>180</v>
      </c>
      <c r="V17" s="14" t="s">
        <v>172</v>
      </c>
      <c r="W17" s="24" t="s">
        <v>173</v>
      </c>
      <c r="X17" s="25" t="s">
        <v>174</v>
      </c>
      <c r="Y17" s="25" t="s">
        <v>68</v>
      </c>
      <c r="Z17" s="27"/>
      <c r="AA17" s="27"/>
      <c r="AB17" s="28"/>
      <c r="AC17" s="28"/>
      <c r="AD17" s="30"/>
      <c r="AE17" s="31"/>
      <c r="AF17" s="31"/>
      <c r="AG17" s="32"/>
      <c r="AH17" s="33"/>
      <c r="AI17" s="33"/>
      <c r="AJ17" s="33"/>
      <c r="AK17" s="34"/>
      <c r="AL17" s="36"/>
      <c r="AM17" s="36"/>
      <c r="AN17" s="36"/>
      <c r="AO17" s="32"/>
      <c r="AP17" s="40"/>
      <c r="AQ17" s="41"/>
      <c r="AR17" s="42"/>
      <c r="AS17" s="40"/>
      <c r="AT17" s="45"/>
    </row>
    <row r="18" ht="44" hidden="1" customHeight="1" spans="1:46">
      <c r="A18" s="3" t="s">
        <v>181</v>
      </c>
      <c r="B18" s="4" t="s">
        <v>84</v>
      </c>
      <c r="C18" s="5" t="s">
        <v>48</v>
      </c>
      <c r="D18" s="6">
        <v>46146</v>
      </c>
      <c r="E18" s="3" t="s">
        <v>182</v>
      </c>
      <c r="F18" s="3" t="s">
        <v>131</v>
      </c>
      <c r="G18" s="3" t="s">
        <v>50</v>
      </c>
      <c r="H18" s="3" t="s">
        <v>183</v>
      </c>
      <c r="I18" s="318" t="s">
        <v>184</v>
      </c>
      <c r="J18" s="9" t="s">
        <v>185</v>
      </c>
      <c r="K18" s="10" t="s">
        <v>122</v>
      </c>
      <c r="L18" s="11">
        <v>1</v>
      </c>
      <c r="M18" s="11">
        <v>38.5</v>
      </c>
      <c r="N18" s="19">
        <v>28000</v>
      </c>
      <c r="O18" s="20"/>
      <c r="P18" s="18"/>
      <c r="Q18" s="10"/>
      <c r="R18" s="21">
        <v>1</v>
      </c>
      <c r="S18" s="12" t="s">
        <v>186</v>
      </c>
      <c r="T18" s="13" t="s">
        <v>187</v>
      </c>
      <c r="U18" s="22"/>
      <c r="V18" s="14" t="s">
        <v>188</v>
      </c>
      <c r="W18" s="26" t="s">
        <v>189</v>
      </c>
      <c r="X18" s="25" t="s">
        <v>73</v>
      </c>
      <c r="Y18" s="25" t="s">
        <v>190</v>
      </c>
      <c r="Z18" s="27"/>
      <c r="AA18" s="27"/>
      <c r="AB18" s="28"/>
      <c r="AC18" s="28"/>
      <c r="AD18" s="30"/>
      <c r="AE18" s="31"/>
      <c r="AF18" s="31"/>
      <c r="AG18" s="32"/>
      <c r="AH18" s="33"/>
      <c r="AI18" s="33"/>
      <c r="AJ18" s="33"/>
      <c r="AK18" s="34"/>
      <c r="AL18" s="36"/>
      <c r="AM18" s="36"/>
      <c r="AN18" s="36"/>
      <c r="AO18" s="32"/>
      <c r="AP18" s="40"/>
      <c r="AQ18" s="41"/>
      <c r="AR18" s="43"/>
      <c r="AS18" s="40"/>
      <c r="AT18" s="46" t="s">
        <v>116</v>
      </c>
    </row>
    <row r="19" ht="50" hidden="1" customHeight="1" spans="1:46">
      <c r="A19" s="3" t="s">
        <v>191</v>
      </c>
      <c r="B19" s="4" t="s">
        <v>84</v>
      </c>
      <c r="C19" s="5" t="s">
        <v>48</v>
      </c>
      <c r="D19" s="6" t="s">
        <v>192</v>
      </c>
      <c r="E19" s="3" t="s">
        <v>193</v>
      </c>
      <c r="F19" s="3"/>
      <c r="G19" s="3" t="s">
        <v>86</v>
      </c>
      <c r="H19" s="3" t="s">
        <v>194</v>
      </c>
      <c r="I19" s="318" t="s">
        <v>195</v>
      </c>
      <c r="J19" s="9" t="s">
        <v>196</v>
      </c>
      <c r="K19" s="10" t="s">
        <v>122</v>
      </c>
      <c r="L19" s="11">
        <v>1</v>
      </c>
      <c r="M19" s="11">
        <v>238.6</v>
      </c>
      <c r="N19" s="19">
        <v>62879</v>
      </c>
      <c r="O19" s="20"/>
      <c r="P19" s="18"/>
      <c r="Q19" s="10"/>
      <c r="R19" s="21">
        <v>2</v>
      </c>
      <c r="S19" s="12" t="s">
        <v>123</v>
      </c>
      <c r="T19" s="13" t="s">
        <v>197</v>
      </c>
      <c r="U19" s="22"/>
      <c r="V19" s="14" t="s">
        <v>193</v>
      </c>
      <c r="W19" s="26" t="s">
        <v>198</v>
      </c>
      <c r="X19" s="25" t="s">
        <v>99</v>
      </c>
      <c r="Y19" s="25" t="s">
        <v>199</v>
      </c>
      <c r="Z19" s="27"/>
      <c r="AA19" s="27"/>
      <c r="AB19" s="28"/>
      <c r="AC19" s="28"/>
      <c r="AD19" s="30"/>
      <c r="AE19" s="31"/>
      <c r="AF19" s="31"/>
      <c r="AG19" s="32"/>
      <c r="AH19" s="33"/>
      <c r="AI19" s="33"/>
      <c r="AJ19" s="33"/>
      <c r="AK19" s="34"/>
      <c r="AL19" s="36"/>
      <c r="AM19" s="36"/>
      <c r="AN19" s="36"/>
      <c r="AO19" s="32"/>
      <c r="AP19" s="40"/>
      <c r="AQ19" s="41"/>
      <c r="AR19" s="43"/>
      <c r="AS19" s="40"/>
      <c r="AT19" s="46"/>
    </row>
    <row r="20" ht="44" hidden="1" spans="1:46">
      <c r="A20" s="3" t="s">
        <v>200</v>
      </c>
      <c r="B20" s="4" t="s">
        <v>60</v>
      </c>
      <c r="C20" s="5" t="s">
        <v>48</v>
      </c>
      <c r="D20" s="6">
        <v>46207</v>
      </c>
      <c r="E20" s="3" t="s">
        <v>201</v>
      </c>
      <c r="F20" s="3"/>
      <c r="G20" s="3" t="s">
        <v>86</v>
      </c>
      <c r="H20" s="3" t="s">
        <v>202</v>
      </c>
      <c r="I20" s="8">
        <v>725354995</v>
      </c>
      <c r="J20" s="9" t="s">
        <v>203</v>
      </c>
      <c r="K20" s="10" t="s">
        <v>90</v>
      </c>
      <c r="L20" s="11">
        <v>4</v>
      </c>
      <c r="M20" s="11">
        <v>227.8</v>
      </c>
      <c r="N20" s="18">
        <v>242006</v>
      </c>
      <c r="O20" s="203"/>
      <c r="P20" s="18"/>
      <c r="Q20" s="10"/>
      <c r="R20" s="21">
        <v>1</v>
      </c>
      <c r="S20" s="12"/>
      <c r="T20" s="22"/>
      <c r="U20" s="22"/>
      <c r="V20" s="14" t="s">
        <v>201</v>
      </c>
      <c r="W20" s="26" t="s">
        <v>204</v>
      </c>
      <c r="X20" s="25" t="s">
        <v>205</v>
      </c>
      <c r="Y20" s="25" t="s">
        <v>206</v>
      </c>
      <c r="Z20" s="27"/>
      <c r="AA20" s="27"/>
      <c r="AB20" s="28"/>
      <c r="AC20" s="28"/>
      <c r="AD20" s="30"/>
      <c r="AE20" s="31"/>
      <c r="AF20" s="31"/>
      <c r="AG20" s="32"/>
      <c r="AH20" s="33"/>
      <c r="AI20" s="33"/>
      <c r="AJ20" s="33"/>
      <c r="AK20" s="34"/>
      <c r="AL20" s="36"/>
      <c r="AM20" s="36"/>
      <c r="AN20" s="36"/>
      <c r="AO20" s="32"/>
      <c r="AP20" s="40"/>
      <c r="AQ20" s="41"/>
      <c r="AR20" s="43"/>
      <c r="AS20" s="40"/>
      <c r="AT20" s="46"/>
    </row>
    <row r="21" s="78" customFormat="1" ht="55" hidden="1" customHeight="1" spans="1:49">
      <c r="A21" s="180" t="s">
        <v>207</v>
      </c>
      <c r="B21" s="60" t="s">
        <v>60</v>
      </c>
      <c r="C21" s="5" t="s">
        <v>48</v>
      </c>
      <c r="D21" s="6">
        <v>46269</v>
      </c>
      <c r="E21" s="3" t="s">
        <v>208</v>
      </c>
      <c r="F21" s="3"/>
      <c r="G21" s="3" t="s">
        <v>50</v>
      </c>
      <c r="H21" s="77" t="s">
        <v>209</v>
      </c>
      <c r="I21" s="241" t="s">
        <v>210</v>
      </c>
      <c r="J21" s="9" t="s">
        <v>211</v>
      </c>
      <c r="K21" s="10" t="s">
        <v>212</v>
      </c>
      <c r="L21" s="11">
        <v>16</v>
      </c>
      <c r="M21" s="11">
        <v>358.7</v>
      </c>
      <c r="N21" s="18">
        <v>2975765</v>
      </c>
      <c r="O21" s="203"/>
      <c r="P21" s="18"/>
      <c r="Q21" s="10"/>
      <c r="R21" s="21">
        <v>1</v>
      </c>
      <c r="S21" s="12"/>
      <c r="T21" s="22"/>
      <c r="U21" s="22"/>
      <c r="V21" s="14" t="s">
        <v>213</v>
      </c>
      <c r="W21" s="14" t="s">
        <v>214</v>
      </c>
      <c r="X21" s="25">
        <v>0.1875</v>
      </c>
      <c r="Y21" s="25">
        <v>0.979166666666667</v>
      </c>
      <c r="Z21" s="28"/>
      <c r="AA21" s="28"/>
      <c r="AB21" s="28"/>
      <c r="AC21" s="28"/>
      <c r="AD21" s="30"/>
      <c r="AE21" s="31"/>
      <c r="AF21" s="31"/>
      <c r="AG21" s="32"/>
      <c r="AH21" s="33"/>
      <c r="AI21" s="33"/>
      <c r="AJ21" s="33"/>
      <c r="AK21" s="34"/>
      <c r="AL21" s="36"/>
      <c r="AM21" s="36"/>
      <c r="AN21" s="36"/>
      <c r="AO21" s="32"/>
      <c r="AP21" s="40">
        <v>0</v>
      </c>
      <c r="AQ21" s="41"/>
      <c r="AR21" s="222">
        <f t="shared" ref="AR21:AR23" si="0">AP21-(N21+AE21+AF21)</f>
        <v>-2975765</v>
      </c>
      <c r="AS21" s="40"/>
      <c r="AT21" s="46"/>
      <c r="AU21" s="170"/>
      <c r="AV21" s="170"/>
      <c r="AW21" s="170"/>
    </row>
    <row r="22" ht="48" hidden="1" customHeight="1" spans="1:46">
      <c r="A22" s="180" t="s">
        <v>215</v>
      </c>
      <c r="B22" s="4" t="s">
        <v>84</v>
      </c>
      <c r="C22" s="5" t="s">
        <v>48</v>
      </c>
      <c r="D22" s="10" t="s">
        <v>216</v>
      </c>
      <c r="E22" s="3" t="s">
        <v>217</v>
      </c>
      <c r="F22" s="3" t="s">
        <v>119</v>
      </c>
      <c r="G22" s="3" t="s">
        <v>50</v>
      </c>
      <c r="H22" s="3" t="s">
        <v>218</v>
      </c>
      <c r="I22" s="319" t="s">
        <v>219</v>
      </c>
      <c r="J22" s="9" t="s">
        <v>220</v>
      </c>
      <c r="K22" s="10" t="s">
        <v>122</v>
      </c>
      <c r="L22" s="11">
        <v>1</v>
      </c>
      <c r="M22" s="11">
        <v>186.2</v>
      </c>
      <c r="N22" s="18">
        <v>67784</v>
      </c>
      <c r="O22" s="203"/>
      <c r="P22" s="18"/>
      <c r="Q22" s="10"/>
      <c r="R22" s="21">
        <v>2</v>
      </c>
      <c r="S22" s="12"/>
      <c r="T22" s="22"/>
      <c r="U22" s="22"/>
      <c r="V22" s="14" t="s">
        <v>221</v>
      </c>
      <c r="W22" s="14" t="s">
        <v>222</v>
      </c>
      <c r="X22" s="209" t="s">
        <v>68</v>
      </c>
      <c r="Y22" s="209" t="s">
        <v>223</v>
      </c>
      <c r="Z22" s="28"/>
      <c r="AA22" s="28"/>
      <c r="AB22" s="28"/>
      <c r="AC22" s="28"/>
      <c r="AD22" s="30"/>
      <c r="AE22" s="31"/>
      <c r="AF22" s="31"/>
      <c r="AG22" s="32"/>
      <c r="AH22" s="33"/>
      <c r="AI22" s="33"/>
      <c r="AJ22" s="33"/>
      <c r="AK22" s="34"/>
      <c r="AL22" s="36"/>
      <c r="AM22" s="36"/>
      <c r="AN22" s="36"/>
      <c r="AO22" s="32"/>
      <c r="AP22" s="40">
        <v>60974</v>
      </c>
      <c r="AQ22" s="41" t="s">
        <v>142</v>
      </c>
      <c r="AR22" s="43">
        <f t="shared" si="0"/>
        <v>-6810</v>
      </c>
      <c r="AS22" s="40"/>
      <c r="AT22" s="46" t="s">
        <v>116</v>
      </c>
    </row>
    <row r="23" ht="57" hidden="1" customHeight="1" spans="1:46">
      <c r="A23" s="180" t="s">
        <v>224</v>
      </c>
      <c r="B23" s="4" t="s">
        <v>84</v>
      </c>
      <c r="C23" s="5" t="s">
        <v>48</v>
      </c>
      <c r="D23" s="10" t="s">
        <v>225</v>
      </c>
      <c r="E23" s="3" t="s">
        <v>217</v>
      </c>
      <c r="F23" s="3" t="s">
        <v>119</v>
      </c>
      <c r="G23" s="3" t="s">
        <v>50</v>
      </c>
      <c r="H23" s="3" t="s">
        <v>218</v>
      </c>
      <c r="I23" s="319" t="s">
        <v>219</v>
      </c>
      <c r="J23" s="9" t="s">
        <v>226</v>
      </c>
      <c r="K23" s="10" t="s">
        <v>227</v>
      </c>
      <c r="L23" s="11">
        <v>2</v>
      </c>
      <c r="M23" s="11">
        <v>239.8</v>
      </c>
      <c r="N23" s="18">
        <v>323256</v>
      </c>
      <c r="O23" s="203"/>
      <c r="P23" s="18"/>
      <c r="Q23" s="10"/>
      <c r="R23" s="21"/>
      <c r="S23" s="14" t="s">
        <v>228</v>
      </c>
      <c r="T23" s="13" t="s">
        <v>229</v>
      </c>
      <c r="U23" s="13" t="s">
        <v>230</v>
      </c>
      <c r="V23" s="14" t="s">
        <v>231</v>
      </c>
      <c r="W23" s="14" t="s">
        <v>232</v>
      </c>
      <c r="X23" s="209" t="s">
        <v>68</v>
      </c>
      <c r="Y23" s="209" t="s">
        <v>223</v>
      </c>
      <c r="Z23" s="28"/>
      <c r="AA23" s="28"/>
      <c r="AB23" s="28"/>
      <c r="AC23" s="28"/>
      <c r="AD23" s="30"/>
      <c r="AE23" s="31"/>
      <c r="AF23" s="31"/>
      <c r="AG23" s="32"/>
      <c r="AH23" s="33"/>
      <c r="AI23" s="33"/>
      <c r="AJ23" s="33"/>
      <c r="AK23" s="34"/>
      <c r="AL23" s="36"/>
      <c r="AM23" s="36"/>
      <c r="AN23" s="36"/>
      <c r="AO23" s="32"/>
      <c r="AP23" s="40">
        <v>161628</v>
      </c>
      <c r="AQ23" s="41" t="s">
        <v>233</v>
      </c>
      <c r="AR23" s="43">
        <f t="shared" si="0"/>
        <v>-161628</v>
      </c>
      <c r="AS23" s="40"/>
      <c r="AT23" s="46" t="s">
        <v>116</v>
      </c>
    </row>
    <row r="24" ht="62" hidden="1" customHeight="1" spans="1:46">
      <c r="A24" s="180" t="s">
        <v>234</v>
      </c>
      <c r="B24" s="4" t="s">
        <v>84</v>
      </c>
      <c r="C24" s="5" t="s">
        <v>48</v>
      </c>
      <c r="D24" s="10" t="s">
        <v>235</v>
      </c>
      <c r="E24" s="3" t="s">
        <v>217</v>
      </c>
      <c r="F24" s="3" t="s">
        <v>119</v>
      </c>
      <c r="G24" s="3" t="s">
        <v>50</v>
      </c>
      <c r="H24" s="3" t="s">
        <v>218</v>
      </c>
      <c r="I24" s="319" t="s">
        <v>219</v>
      </c>
      <c r="J24" s="9" t="s">
        <v>236</v>
      </c>
      <c r="K24" s="10" t="s">
        <v>227</v>
      </c>
      <c r="L24" s="11">
        <v>1</v>
      </c>
      <c r="M24" s="11">
        <v>203</v>
      </c>
      <c r="N24" s="18">
        <v>128399</v>
      </c>
      <c r="O24" s="203"/>
      <c r="P24" s="18"/>
      <c r="Q24" s="10"/>
      <c r="R24" s="21">
        <v>2</v>
      </c>
      <c r="S24" s="12" t="s">
        <v>237</v>
      </c>
      <c r="T24" s="22" t="s">
        <v>238</v>
      </c>
      <c r="U24" s="22" t="s">
        <v>112</v>
      </c>
      <c r="V24" s="14"/>
      <c r="W24" s="14"/>
      <c r="X24" s="209"/>
      <c r="Y24" s="209"/>
      <c r="Z24" s="28"/>
      <c r="AA24" s="28"/>
      <c r="AB24" s="28"/>
      <c r="AC24" s="28"/>
      <c r="AD24" s="30"/>
      <c r="AE24" s="31"/>
      <c r="AF24" s="31"/>
      <c r="AG24" s="32"/>
      <c r="AH24" s="33"/>
      <c r="AI24" s="33"/>
      <c r="AJ24" s="33"/>
      <c r="AK24" s="34"/>
      <c r="AL24" s="36"/>
      <c r="AM24" s="36"/>
      <c r="AN24" s="36"/>
      <c r="AO24" s="32"/>
      <c r="AP24" s="40">
        <v>128399</v>
      </c>
      <c r="AQ24" s="41" t="s">
        <v>239</v>
      </c>
      <c r="AR24" s="43"/>
      <c r="AS24" s="40"/>
      <c r="AT24" s="46" t="s">
        <v>116</v>
      </c>
    </row>
    <row r="25" ht="39.75" hidden="1" customHeight="1" spans="1:46">
      <c r="A25" s="180" t="s">
        <v>240</v>
      </c>
      <c r="B25" s="4" t="s">
        <v>84</v>
      </c>
      <c r="C25" s="5" t="s">
        <v>48</v>
      </c>
      <c r="D25" s="10" t="s">
        <v>241</v>
      </c>
      <c r="E25" s="3" t="s">
        <v>217</v>
      </c>
      <c r="F25" s="3" t="s">
        <v>119</v>
      </c>
      <c r="G25" s="3" t="s">
        <v>50</v>
      </c>
      <c r="H25" s="3" t="s">
        <v>218</v>
      </c>
      <c r="I25" s="319" t="s">
        <v>219</v>
      </c>
      <c r="J25" s="3" t="s">
        <v>242</v>
      </c>
      <c r="K25" s="10" t="s">
        <v>122</v>
      </c>
      <c r="L25" s="11">
        <v>1</v>
      </c>
      <c r="M25" s="11">
        <v>133.2</v>
      </c>
      <c r="N25" s="18">
        <v>50891</v>
      </c>
      <c r="O25" s="203"/>
      <c r="P25" s="18"/>
      <c r="Q25" s="10"/>
      <c r="R25" s="21">
        <v>2</v>
      </c>
      <c r="S25" s="12" t="s">
        <v>186</v>
      </c>
      <c r="T25" s="22" t="s">
        <v>243</v>
      </c>
      <c r="U25" s="22"/>
      <c r="V25" s="14" t="s">
        <v>231</v>
      </c>
      <c r="W25" s="14" t="s">
        <v>244</v>
      </c>
      <c r="X25" s="209" t="s">
        <v>100</v>
      </c>
      <c r="Y25" s="209" t="s">
        <v>223</v>
      </c>
      <c r="Z25" s="28"/>
      <c r="AA25" s="28"/>
      <c r="AB25" s="28"/>
      <c r="AC25" s="28"/>
      <c r="AD25" s="30"/>
      <c r="AE25" s="31"/>
      <c r="AF25" s="31"/>
      <c r="AG25" s="32"/>
      <c r="AH25" s="33"/>
      <c r="AI25" s="33"/>
      <c r="AJ25" s="33"/>
      <c r="AK25" s="34"/>
      <c r="AL25" s="36"/>
      <c r="AM25" s="36"/>
      <c r="AN25" s="36"/>
      <c r="AO25" s="32"/>
      <c r="AP25" s="40">
        <v>50891</v>
      </c>
      <c r="AQ25" s="41" t="s">
        <v>239</v>
      </c>
      <c r="AR25" s="43"/>
      <c r="AS25" s="40"/>
      <c r="AT25" s="46" t="s">
        <v>116</v>
      </c>
    </row>
    <row r="26" ht="57" hidden="1" customHeight="1" spans="1:46">
      <c r="A26" s="180" t="s">
        <v>245</v>
      </c>
      <c r="B26" s="4" t="s">
        <v>84</v>
      </c>
      <c r="C26" s="5" t="s">
        <v>48</v>
      </c>
      <c r="D26" s="190" t="s">
        <v>246</v>
      </c>
      <c r="E26" s="3" t="s">
        <v>247</v>
      </c>
      <c r="F26" s="3" t="s">
        <v>105</v>
      </c>
      <c r="G26" s="3" t="s">
        <v>50</v>
      </c>
      <c r="H26" s="3" t="s">
        <v>218</v>
      </c>
      <c r="I26" s="319" t="s">
        <v>219</v>
      </c>
      <c r="J26" s="9" t="s">
        <v>248</v>
      </c>
      <c r="K26" s="10" t="s">
        <v>249</v>
      </c>
      <c r="L26" s="11">
        <v>1</v>
      </c>
      <c r="M26" s="11">
        <v>133.1</v>
      </c>
      <c r="N26" s="18">
        <v>221884</v>
      </c>
      <c r="O26" s="203"/>
      <c r="P26" s="18"/>
      <c r="Q26" s="10"/>
      <c r="R26" s="21">
        <v>3</v>
      </c>
      <c r="S26" s="12" t="s">
        <v>250</v>
      </c>
      <c r="T26" s="22" t="s">
        <v>251</v>
      </c>
      <c r="U26" s="22" t="s">
        <v>252</v>
      </c>
      <c r="V26" s="14"/>
      <c r="W26" s="14"/>
      <c r="X26" s="209" t="s">
        <v>253</v>
      </c>
      <c r="Y26" s="209" t="s">
        <v>141</v>
      </c>
      <c r="Z26" s="28"/>
      <c r="AA26" s="28"/>
      <c r="AB26" s="28"/>
      <c r="AC26" s="28"/>
      <c r="AD26" s="30"/>
      <c r="AE26" s="31"/>
      <c r="AF26" s="31"/>
      <c r="AG26" s="32"/>
      <c r="AH26" s="33"/>
      <c r="AI26" s="33"/>
      <c r="AJ26" s="33"/>
      <c r="AK26" s="34"/>
      <c r="AL26" s="36"/>
      <c r="AM26" s="36"/>
      <c r="AN26" s="36"/>
      <c r="AO26" s="32"/>
      <c r="AP26" s="18">
        <v>221884</v>
      </c>
      <c r="AQ26" s="38" t="s">
        <v>254</v>
      </c>
      <c r="AR26" s="301"/>
      <c r="AS26" s="45"/>
      <c r="AT26" s="46" t="s">
        <v>116</v>
      </c>
    </row>
    <row r="27" ht="57" hidden="1" customHeight="1" spans="1:46">
      <c r="A27" s="180" t="s">
        <v>255</v>
      </c>
      <c r="B27" s="4" t="s">
        <v>84</v>
      </c>
      <c r="C27" s="5" t="s">
        <v>48</v>
      </c>
      <c r="D27" s="190">
        <v>46121</v>
      </c>
      <c r="E27" s="3" t="s">
        <v>118</v>
      </c>
      <c r="F27" s="3" t="s">
        <v>105</v>
      </c>
      <c r="G27" s="3" t="s">
        <v>50</v>
      </c>
      <c r="H27" s="3" t="s">
        <v>256</v>
      </c>
      <c r="I27" s="319" t="s">
        <v>257</v>
      </c>
      <c r="J27" s="9" t="s">
        <v>258</v>
      </c>
      <c r="K27" s="10" t="s">
        <v>259</v>
      </c>
      <c r="L27" s="11">
        <v>1</v>
      </c>
      <c r="M27" s="11">
        <v>118.4</v>
      </c>
      <c r="N27" s="18">
        <v>115000</v>
      </c>
      <c r="O27" s="203"/>
      <c r="P27" s="18"/>
      <c r="Q27" s="10"/>
      <c r="R27" s="21">
        <v>1</v>
      </c>
      <c r="S27" s="12" t="s">
        <v>260</v>
      </c>
      <c r="T27" s="22" t="s">
        <v>261</v>
      </c>
      <c r="U27" s="22"/>
      <c r="V27" s="14"/>
      <c r="W27" s="14"/>
      <c r="X27" s="209" t="s">
        <v>154</v>
      </c>
      <c r="Y27" s="209" t="s">
        <v>253</v>
      </c>
      <c r="Z27" s="28"/>
      <c r="AA27" s="28"/>
      <c r="AB27" s="28"/>
      <c r="AC27" s="28"/>
      <c r="AD27" s="30"/>
      <c r="AE27" s="31"/>
      <c r="AF27" s="31"/>
      <c r="AG27" s="32"/>
      <c r="AH27" s="33"/>
      <c r="AI27" s="33"/>
      <c r="AJ27" s="33"/>
      <c r="AK27" s="34"/>
      <c r="AL27" s="36"/>
      <c r="AM27" s="36"/>
      <c r="AN27" s="36"/>
      <c r="AO27" s="32"/>
      <c r="AP27" s="37">
        <v>115000</v>
      </c>
      <c r="AQ27" s="38" t="s">
        <v>262</v>
      </c>
      <c r="AR27" s="301"/>
      <c r="AS27" s="45"/>
      <c r="AT27" s="46" t="s">
        <v>116</v>
      </c>
    </row>
    <row r="28" ht="57" hidden="1" customHeight="1" spans="1:46">
      <c r="A28" s="180" t="s">
        <v>263</v>
      </c>
      <c r="B28" s="4" t="s">
        <v>60</v>
      </c>
      <c r="C28" s="5" t="s">
        <v>48</v>
      </c>
      <c r="D28" s="190">
        <v>46121</v>
      </c>
      <c r="E28" s="3" t="s">
        <v>118</v>
      </c>
      <c r="F28" s="3" t="s">
        <v>105</v>
      </c>
      <c r="G28" s="3" t="s">
        <v>50</v>
      </c>
      <c r="H28" s="3" t="s">
        <v>256</v>
      </c>
      <c r="I28" s="319" t="s">
        <v>257</v>
      </c>
      <c r="J28" s="9" t="s">
        <v>258</v>
      </c>
      <c r="K28" s="10" t="s">
        <v>72</v>
      </c>
      <c r="L28" s="11">
        <v>1</v>
      </c>
      <c r="M28" s="11">
        <v>118.4</v>
      </c>
      <c r="N28" s="18">
        <v>106412</v>
      </c>
      <c r="O28" s="203"/>
      <c r="P28" s="18"/>
      <c r="Q28" s="10"/>
      <c r="R28" s="21">
        <v>1</v>
      </c>
      <c r="S28" s="12"/>
      <c r="T28" s="22"/>
      <c r="U28" s="22"/>
      <c r="V28" s="14"/>
      <c r="W28" s="14"/>
      <c r="X28" s="209" t="s">
        <v>141</v>
      </c>
      <c r="Y28" s="209" t="s">
        <v>264</v>
      </c>
      <c r="Z28" s="28"/>
      <c r="AA28" s="28"/>
      <c r="AB28" s="28"/>
      <c r="AC28" s="28"/>
      <c r="AD28" s="30"/>
      <c r="AE28" s="31"/>
      <c r="AF28" s="31"/>
      <c r="AG28" s="32"/>
      <c r="AH28" s="33"/>
      <c r="AI28" s="33"/>
      <c r="AJ28" s="33"/>
      <c r="AK28" s="34"/>
      <c r="AL28" s="36"/>
      <c r="AM28" s="36"/>
      <c r="AN28" s="36"/>
      <c r="AO28" s="32"/>
      <c r="AP28" s="299"/>
      <c r="AQ28" s="300"/>
      <c r="AR28" s="301"/>
      <c r="AS28" s="45"/>
      <c r="AT28" s="46"/>
    </row>
    <row r="29" ht="57" hidden="1" customHeight="1" spans="1:46">
      <c r="A29" s="180" t="s">
        <v>265</v>
      </c>
      <c r="B29" s="4" t="s">
        <v>84</v>
      </c>
      <c r="C29" s="5" t="s">
        <v>48</v>
      </c>
      <c r="D29" s="190">
        <v>46123</v>
      </c>
      <c r="E29" s="3" t="s">
        <v>266</v>
      </c>
      <c r="F29" s="3" t="s">
        <v>267</v>
      </c>
      <c r="G29" s="3" t="s">
        <v>50</v>
      </c>
      <c r="H29" s="3" t="s">
        <v>268</v>
      </c>
      <c r="I29" s="319" t="s">
        <v>269</v>
      </c>
      <c r="J29" s="9" t="s">
        <v>270</v>
      </c>
      <c r="K29" s="10" t="s">
        <v>90</v>
      </c>
      <c r="L29" s="11">
        <v>1</v>
      </c>
      <c r="M29" s="11">
        <v>388.3</v>
      </c>
      <c r="N29" s="18">
        <v>137705</v>
      </c>
      <c r="O29" s="203"/>
      <c r="P29" s="18"/>
      <c r="Q29" s="10"/>
      <c r="R29" s="21">
        <v>1</v>
      </c>
      <c r="S29" s="12" t="s">
        <v>271</v>
      </c>
      <c r="T29" s="13" t="s">
        <v>272</v>
      </c>
      <c r="U29" s="22" t="s">
        <v>273</v>
      </c>
      <c r="V29" s="14"/>
      <c r="W29" s="14"/>
      <c r="X29" s="209" t="s">
        <v>274</v>
      </c>
      <c r="Y29" s="209" t="s">
        <v>275</v>
      </c>
      <c r="Z29" s="28"/>
      <c r="AA29" s="28"/>
      <c r="AB29" s="28"/>
      <c r="AC29" s="28"/>
      <c r="AD29" s="30"/>
      <c r="AE29" s="31"/>
      <c r="AF29" s="31"/>
      <c r="AG29" s="32"/>
      <c r="AH29" s="33"/>
      <c r="AI29" s="33"/>
      <c r="AJ29" s="33"/>
      <c r="AK29" s="34"/>
      <c r="AL29" s="36"/>
      <c r="AM29" s="36"/>
      <c r="AN29" s="36"/>
      <c r="AO29" s="32"/>
      <c r="AP29" s="37">
        <v>308902.5</v>
      </c>
      <c r="AQ29" s="38" t="s">
        <v>262</v>
      </c>
      <c r="AR29" s="302">
        <v>308903</v>
      </c>
      <c r="AS29" s="44" t="s">
        <v>276</v>
      </c>
      <c r="AT29" s="44" t="s">
        <v>116</v>
      </c>
    </row>
    <row r="30" ht="57" hidden="1" customHeight="1" spans="1:46">
      <c r="A30" s="180" t="s">
        <v>277</v>
      </c>
      <c r="B30" s="4" t="s">
        <v>84</v>
      </c>
      <c r="C30" s="5" t="s">
        <v>48</v>
      </c>
      <c r="D30" s="190">
        <v>46123</v>
      </c>
      <c r="E30" s="3" t="s">
        <v>266</v>
      </c>
      <c r="F30" s="3" t="s">
        <v>267</v>
      </c>
      <c r="G30" s="3" t="s">
        <v>50</v>
      </c>
      <c r="H30" s="3" t="s">
        <v>268</v>
      </c>
      <c r="I30" s="319" t="s">
        <v>269</v>
      </c>
      <c r="J30" s="9" t="s">
        <v>278</v>
      </c>
      <c r="K30" s="10" t="s">
        <v>90</v>
      </c>
      <c r="L30" s="11">
        <v>1</v>
      </c>
      <c r="M30" s="11">
        <v>280.1</v>
      </c>
      <c r="N30" s="18">
        <v>109203</v>
      </c>
      <c r="O30" s="203"/>
      <c r="P30" s="18"/>
      <c r="Q30" s="10"/>
      <c r="R30" s="21">
        <v>1</v>
      </c>
      <c r="S30" s="12" t="s">
        <v>279</v>
      </c>
      <c r="T30" s="22" t="s">
        <v>280</v>
      </c>
      <c r="U30" s="22" t="s">
        <v>281</v>
      </c>
      <c r="V30" s="14"/>
      <c r="W30" s="14"/>
      <c r="X30" s="209" t="s">
        <v>73</v>
      </c>
      <c r="Y30" s="209" t="s">
        <v>282</v>
      </c>
      <c r="Z30" s="28"/>
      <c r="AA30" s="28"/>
      <c r="AB30" s="28"/>
      <c r="AC30" s="28"/>
      <c r="AD30" s="30"/>
      <c r="AE30" s="31"/>
      <c r="AF30" s="31"/>
      <c r="AG30" s="32"/>
      <c r="AH30" s="33"/>
      <c r="AI30" s="33"/>
      <c r="AJ30" s="33"/>
      <c r="AK30" s="34"/>
      <c r="AL30" s="36"/>
      <c r="AM30" s="36"/>
      <c r="AN30" s="36"/>
      <c r="AO30" s="32"/>
      <c r="AP30" s="37"/>
      <c r="AQ30" s="38"/>
      <c r="AR30" s="302"/>
      <c r="AS30" s="44"/>
      <c r="AT30" s="44"/>
    </row>
    <row r="31" ht="57" hidden="1" customHeight="1" spans="1:46">
      <c r="A31" s="180" t="s">
        <v>283</v>
      </c>
      <c r="B31" s="4" t="s">
        <v>84</v>
      </c>
      <c r="C31" s="5" t="s">
        <v>48</v>
      </c>
      <c r="D31" s="190">
        <v>46123</v>
      </c>
      <c r="E31" s="3" t="s">
        <v>266</v>
      </c>
      <c r="F31" s="3" t="s">
        <v>267</v>
      </c>
      <c r="G31" s="3" t="s">
        <v>50</v>
      </c>
      <c r="H31" s="3" t="s">
        <v>268</v>
      </c>
      <c r="I31" s="319" t="s">
        <v>269</v>
      </c>
      <c r="J31" s="9" t="s">
        <v>284</v>
      </c>
      <c r="K31" s="10" t="s">
        <v>90</v>
      </c>
      <c r="L31" s="11">
        <v>1</v>
      </c>
      <c r="M31" s="11">
        <v>406.4</v>
      </c>
      <c r="N31" s="18">
        <v>123439</v>
      </c>
      <c r="O31" s="203"/>
      <c r="P31" s="18"/>
      <c r="Q31" s="10"/>
      <c r="R31" s="21">
        <v>1</v>
      </c>
      <c r="S31" s="12" t="s">
        <v>285</v>
      </c>
      <c r="T31" s="22" t="s">
        <v>286</v>
      </c>
      <c r="U31" s="22" t="s">
        <v>287</v>
      </c>
      <c r="V31" s="14"/>
      <c r="W31" s="14"/>
      <c r="X31" s="209" t="s">
        <v>73</v>
      </c>
      <c r="Y31" s="209" t="s">
        <v>282</v>
      </c>
      <c r="Z31" s="28"/>
      <c r="AA31" s="28"/>
      <c r="AB31" s="28"/>
      <c r="AC31" s="28"/>
      <c r="AD31" s="30"/>
      <c r="AE31" s="31"/>
      <c r="AF31" s="31"/>
      <c r="AG31" s="32"/>
      <c r="AH31" s="33"/>
      <c r="AI31" s="33"/>
      <c r="AJ31" s="33"/>
      <c r="AK31" s="34"/>
      <c r="AL31" s="36"/>
      <c r="AM31" s="36"/>
      <c r="AN31" s="36"/>
      <c r="AO31" s="32"/>
      <c r="AP31" s="37"/>
      <c r="AQ31" s="38"/>
      <c r="AR31" s="302"/>
      <c r="AS31" s="44"/>
      <c r="AT31" s="44"/>
    </row>
    <row r="32" ht="57" hidden="1" customHeight="1" spans="1:46">
      <c r="A32" s="180" t="s">
        <v>288</v>
      </c>
      <c r="B32" s="4" t="s">
        <v>84</v>
      </c>
      <c r="C32" s="5" t="s">
        <v>48</v>
      </c>
      <c r="D32" s="190">
        <v>46123</v>
      </c>
      <c r="E32" s="3" t="s">
        <v>266</v>
      </c>
      <c r="F32" s="3" t="s">
        <v>267</v>
      </c>
      <c r="G32" s="3" t="s">
        <v>50</v>
      </c>
      <c r="H32" s="3" t="s">
        <v>268</v>
      </c>
      <c r="I32" s="319" t="s">
        <v>269</v>
      </c>
      <c r="J32" s="9" t="s">
        <v>289</v>
      </c>
      <c r="K32" s="10" t="s">
        <v>90</v>
      </c>
      <c r="L32" s="11">
        <v>1</v>
      </c>
      <c r="M32" s="11">
        <v>534</v>
      </c>
      <c r="N32" s="18">
        <v>152449</v>
      </c>
      <c r="O32" s="203"/>
      <c r="P32" s="18"/>
      <c r="Q32" s="10"/>
      <c r="R32" s="21">
        <v>1</v>
      </c>
      <c r="S32" s="12" t="s">
        <v>290</v>
      </c>
      <c r="T32" s="22" t="s">
        <v>291</v>
      </c>
      <c r="U32" s="22" t="s">
        <v>292</v>
      </c>
      <c r="V32" s="14"/>
      <c r="W32" s="14"/>
      <c r="X32" s="209" t="s">
        <v>73</v>
      </c>
      <c r="Y32" s="209" t="s">
        <v>282</v>
      </c>
      <c r="Z32" s="28"/>
      <c r="AA32" s="28"/>
      <c r="AB32" s="28"/>
      <c r="AC32" s="28"/>
      <c r="AD32" s="30"/>
      <c r="AE32" s="31"/>
      <c r="AF32" s="31"/>
      <c r="AG32" s="32"/>
      <c r="AH32" s="33"/>
      <c r="AI32" s="33"/>
      <c r="AJ32" s="33"/>
      <c r="AK32" s="34"/>
      <c r="AL32" s="36"/>
      <c r="AM32" s="36"/>
      <c r="AN32" s="36"/>
      <c r="AO32" s="32"/>
      <c r="AP32" s="37"/>
      <c r="AQ32" s="38"/>
      <c r="AR32" s="302"/>
      <c r="AS32" s="44"/>
      <c r="AT32" s="44"/>
    </row>
    <row r="33" ht="57" hidden="1" customHeight="1" spans="1:46">
      <c r="A33" s="180" t="s">
        <v>293</v>
      </c>
      <c r="B33" s="4" t="s">
        <v>84</v>
      </c>
      <c r="C33" s="5" t="s">
        <v>48</v>
      </c>
      <c r="D33" s="190">
        <v>46123</v>
      </c>
      <c r="E33" s="3" t="s">
        <v>266</v>
      </c>
      <c r="F33" s="3" t="s">
        <v>267</v>
      </c>
      <c r="G33" s="3" t="s">
        <v>50</v>
      </c>
      <c r="H33" s="3" t="s">
        <v>268</v>
      </c>
      <c r="I33" s="319" t="s">
        <v>269</v>
      </c>
      <c r="J33" s="9" t="s">
        <v>294</v>
      </c>
      <c r="K33" s="10" t="s">
        <v>90</v>
      </c>
      <c r="L33" s="11">
        <v>1</v>
      </c>
      <c r="M33" s="11">
        <v>344.2</v>
      </c>
      <c r="N33" s="18">
        <v>95009</v>
      </c>
      <c r="O33" s="203"/>
      <c r="P33" s="18"/>
      <c r="Q33" s="10"/>
      <c r="R33" s="21">
        <v>1</v>
      </c>
      <c r="S33" s="12" t="s">
        <v>295</v>
      </c>
      <c r="T33" s="22" t="s">
        <v>296</v>
      </c>
      <c r="U33" s="22" t="s">
        <v>297</v>
      </c>
      <c r="V33" s="14"/>
      <c r="W33" s="14"/>
      <c r="X33" s="209" t="s">
        <v>73</v>
      </c>
      <c r="Y33" s="209" t="s">
        <v>282</v>
      </c>
      <c r="Z33" s="28"/>
      <c r="AA33" s="28"/>
      <c r="AB33" s="28"/>
      <c r="AC33" s="28"/>
      <c r="AD33" s="30"/>
      <c r="AE33" s="31"/>
      <c r="AF33" s="31"/>
      <c r="AG33" s="32"/>
      <c r="AH33" s="33"/>
      <c r="AI33" s="33"/>
      <c r="AJ33" s="33"/>
      <c r="AK33" s="34"/>
      <c r="AL33" s="36"/>
      <c r="AM33" s="36"/>
      <c r="AN33" s="36"/>
      <c r="AO33" s="32"/>
      <c r="AP33" s="40"/>
      <c r="AQ33" s="41"/>
      <c r="AR33" s="303"/>
      <c r="AS33" s="45"/>
      <c r="AT33" s="45"/>
    </row>
    <row r="34" ht="57" hidden="1" customHeight="1" spans="1:46">
      <c r="A34" s="180" t="s">
        <v>298</v>
      </c>
      <c r="B34" s="4" t="s">
        <v>84</v>
      </c>
      <c r="C34" s="5" t="s">
        <v>48</v>
      </c>
      <c r="D34" s="190">
        <v>46123</v>
      </c>
      <c r="E34" s="285" t="s">
        <v>299</v>
      </c>
      <c r="F34" s="3" t="s">
        <v>131</v>
      </c>
      <c r="G34" s="3" t="s">
        <v>50</v>
      </c>
      <c r="H34" s="3" t="s">
        <v>300</v>
      </c>
      <c r="I34" s="319" t="s">
        <v>301</v>
      </c>
      <c r="J34" s="289" t="s">
        <v>302</v>
      </c>
      <c r="K34" s="10" t="s">
        <v>303</v>
      </c>
      <c r="L34" s="11">
        <v>1</v>
      </c>
      <c r="M34" s="11">
        <v>2.9</v>
      </c>
      <c r="N34" s="18">
        <v>25000</v>
      </c>
      <c r="O34" s="203"/>
      <c r="P34" s="18"/>
      <c r="Q34" s="10"/>
      <c r="R34" s="21"/>
      <c r="S34" s="12" t="s">
        <v>304</v>
      </c>
      <c r="T34" s="22" t="s">
        <v>305</v>
      </c>
      <c r="U34" s="22" t="s">
        <v>252</v>
      </c>
      <c r="V34" s="14"/>
      <c r="W34" s="14"/>
      <c r="X34" s="209"/>
      <c r="Y34" s="209"/>
      <c r="Z34" s="28"/>
      <c r="AA34" s="28"/>
      <c r="AB34" s="28"/>
      <c r="AC34" s="28"/>
      <c r="AD34" s="30"/>
      <c r="AE34" s="31"/>
      <c r="AF34" s="31"/>
      <c r="AG34" s="32"/>
      <c r="AH34" s="33"/>
      <c r="AI34" s="33"/>
      <c r="AJ34" s="33"/>
      <c r="AK34" s="34"/>
      <c r="AL34" s="36"/>
      <c r="AM34" s="36"/>
      <c r="AN34" s="36"/>
      <c r="AO34" s="32"/>
      <c r="AP34" s="40"/>
      <c r="AQ34" s="41"/>
      <c r="AR34" s="301"/>
      <c r="AS34" s="45"/>
      <c r="AT34" s="46" t="s">
        <v>116</v>
      </c>
    </row>
    <row r="35" ht="57" hidden="1" customHeight="1" spans="1:46">
      <c r="A35" s="180" t="s">
        <v>306</v>
      </c>
      <c r="B35" s="4" t="s">
        <v>84</v>
      </c>
      <c r="C35" s="5" t="s">
        <v>48</v>
      </c>
      <c r="D35" s="10" t="s">
        <v>307</v>
      </c>
      <c r="E35" s="3" t="s">
        <v>266</v>
      </c>
      <c r="F35" s="3" t="s">
        <v>119</v>
      </c>
      <c r="G35" s="3" t="s">
        <v>50</v>
      </c>
      <c r="H35" s="3" t="s">
        <v>308</v>
      </c>
      <c r="I35" s="198">
        <v>773540807</v>
      </c>
      <c r="J35" s="9" t="s">
        <v>309</v>
      </c>
      <c r="K35" s="10" t="s">
        <v>72</v>
      </c>
      <c r="L35" s="11">
        <v>1</v>
      </c>
      <c r="M35" s="11">
        <v>444.5</v>
      </c>
      <c r="N35" s="18">
        <v>203877</v>
      </c>
      <c r="O35" s="203"/>
      <c r="P35" s="18"/>
      <c r="Q35" s="10"/>
      <c r="R35" s="21">
        <v>3</v>
      </c>
      <c r="S35" s="12" t="s">
        <v>310</v>
      </c>
      <c r="T35" s="22" t="s">
        <v>311</v>
      </c>
      <c r="U35" s="22"/>
      <c r="V35" s="14" t="s">
        <v>312</v>
      </c>
      <c r="W35" s="14" t="s">
        <v>313</v>
      </c>
      <c r="X35" s="209" t="s">
        <v>73</v>
      </c>
      <c r="Y35" s="209" t="s">
        <v>314</v>
      </c>
      <c r="Z35" s="28"/>
      <c r="AA35" s="28"/>
      <c r="AB35" s="28"/>
      <c r="AC35" s="28"/>
      <c r="AD35" s="30"/>
      <c r="AE35" s="31"/>
      <c r="AF35" s="31"/>
      <c r="AG35" s="32"/>
      <c r="AH35" s="33"/>
      <c r="AI35" s="33"/>
      <c r="AJ35" s="33"/>
      <c r="AK35" s="34"/>
      <c r="AL35" s="36"/>
      <c r="AM35" s="36"/>
      <c r="AN35" s="36"/>
      <c r="AO35" s="32"/>
      <c r="AP35" s="40">
        <v>102000</v>
      </c>
      <c r="AQ35" s="41">
        <v>46090</v>
      </c>
      <c r="AR35" s="301">
        <f>AP35-(N35+AE35+AF35)</f>
        <v>-101877</v>
      </c>
      <c r="AS35" s="45" t="s">
        <v>315</v>
      </c>
      <c r="AT35" s="46" t="s">
        <v>116</v>
      </c>
    </row>
    <row r="36" ht="57" hidden="1" customHeight="1" spans="1:46">
      <c r="A36" s="3" t="s">
        <v>316</v>
      </c>
      <c r="B36" s="181" t="s">
        <v>84</v>
      </c>
      <c r="C36" s="5" t="s">
        <v>48</v>
      </c>
      <c r="D36" s="10" t="s">
        <v>317</v>
      </c>
      <c r="E36" s="3" t="s">
        <v>266</v>
      </c>
      <c r="F36" s="3" t="s">
        <v>131</v>
      </c>
      <c r="G36" s="3" t="s">
        <v>50</v>
      </c>
      <c r="H36" s="3" t="s">
        <v>318</v>
      </c>
      <c r="I36" s="319" t="s">
        <v>319</v>
      </c>
      <c r="J36" s="9" t="s">
        <v>320</v>
      </c>
      <c r="K36" s="10" t="s">
        <v>122</v>
      </c>
      <c r="L36" s="11">
        <v>1</v>
      </c>
      <c r="M36" s="11">
        <v>377.6</v>
      </c>
      <c r="N36" s="18">
        <v>93421</v>
      </c>
      <c r="O36" s="203"/>
      <c r="P36" s="18"/>
      <c r="Q36" s="10"/>
      <c r="R36" s="21">
        <v>3</v>
      </c>
      <c r="S36" s="12" t="s">
        <v>123</v>
      </c>
      <c r="T36" s="22" t="s">
        <v>296</v>
      </c>
      <c r="U36" s="22" t="s">
        <v>112</v>
      </c>
      <c r="V36" s="14" t="s">
        <v>321</v>
      </c>
      <c r="W36" s="14" t="s">
        <v>322</v>
      </c>
      <c r="X36" s="25" t="s">
        <v>323</v>
      </c>
      <c r="Y36" s="25" t="s">
        <v>114</v>
      </c>
      <c r="Z36" s="27"/>
      <c r="AA36" s="27"/>
      <c r="AB36" s="28"/>
      <c r="AC36" s="28"/>
      <c r="AD36" s="30"/>
      <c r="AE36" s="31"/>
      <c r="AF36" s="31"/>
      <c r="AG36" s="32"/>
      <c r="AH36" s="33"/>
      <c r="AI36" s="33"/>
      <c r="AJ36" s="33"/>
      <c r="AK36" s="34"/>
      <c r="AL36" s="36"/>
      <c r="AM36" s="36"/>
      <c r="AN36" s="36"/>
      <c r="AO36" s="32"/>
      <c r="AP36" s="40">
        <v>40421</v>
      </c>
      <c r="AQ36" s="41" t="s">
        <v>324</v>
      </c>
      <c r="AR36" s="43">
        <f>AP36-(N36+AE36+AF36)</f>
        <v>-53000</v>
      </c>
      <c r="AS36" s="40"/>
      <c r="AT36" s="46" t="s">
        <v>325</v>
      </c>
    </row>
    <row r="37" ht="51" hidden="1" spans="1:46">
      <c r="A37" s="3" t="s">
        <v>326</v>
      </c>
      <c r="B37" s="181" t="s">
        <v>84</v>
      </c>
      <c r="C37" s="5" t="s">
        <v>48</v>
      </c>
      <c r="D37" s="10" t="s">
        <v>327</v>
      </c>
      <c r="E37" s="3" t="s">
        <v>266</v>
      </c>
      <c r="F37" s="3" t="s">
        <v>131</v>
      </c>
      <c r="G37" s="3" t="s">
        <v>50</v>
      </c>
      <c r="H37" s="3" t="s">
        <v>300</v>
      </c>
      <c r="I37" s="319" t="s">
        <v>328</v>
      </c>
      <c r="J37" s="9" t="s">
        <v>329</v>
      </c>
      <c r="K37" s="10" t="s">
        <v>122</v>
      </c>
      <c r="L37" s="11">
        <v>1</v>
      </c>
      <c r="M37" s="11">
        <v>800</v>
      </c>
      <c r="N37" s="18">
        <v>157303</v>
      </c>
      <c r="O37" s="203"/>
      <c r="P37" s="18"/>
      <c r="Q37" s="10"/>
      <c r="R37" s="21">
        <v>4</v>
      </c>
      <c r="S37" s="12" t="s">
        <v>330</v>
      </c>
      <c r="T37" s="22" t="s">
        <v>331</v>
      </c>
      <c r="U37" s="22"/>
      <c r="V37" s="14" t="s">
        <v>332</v>
      </c>
      <c r="W37" s="14" t="s">
        <v>333</v>
      </c>
      <c r="X37" s="25"/>
      <c r="Y37" s="25"/>
      <c r="Z37" s="27"/>
      <c r="AA37" s="27"/>
      <c r="AB37" s="28"/>
      <c r="AC37" s="28"/>
      <c r="AD37" s="30"/>
      <c r="AE37" s="31"/>
      <c r="AF37" s="31"/>
      <c r="AG37" s="32"/>
      <c r="AH37" s="33"/>
      <c r="AI37" s="33"/>
      <c r="AJ37" s="33"/>
      <c r="AK37" s="34"/>
      <c r="AL37" s="36"/>
      <c r="AM37" s="36"/>
      <c r="AN37" s="36"/>
      <c r="AO37" s="32"/>
      <c r="AP37" s="40">
        <v>90000</v>
      </c>
      <c r="AQ37" s="41" t="s">
        <v>334</v>
      </c>
      <c r="AR37" s="43">
        <f>AP37-(N37+AE37+AF37)</f>
        <v>-67303</v>
      </c>
      <c r="AS37" s="40"/>
      <c r="AT37" s="46" t="s">
        <v>116</v>
      </c>
    </row>
    <row r="38" ht="99" hidden="1" customHeight="1" spans="1:46">
      <c r="A38" s="180" t="s">
        <v>335</v>
      </c>
      <c r="B38" s="181" t="s">
        <v>84</v>
      </c>
      <c r="C38" s="5" t="s">
        <v>48</v>
      </c>
      <c r="D38" s="10" t="s">
        <v>336</v>
      </c>
      <c r="E38" s="3" t="s">
        <v>337</v>
      </c>
      <c r="F38" s="3" t="s">
        <v>105</v>
      </c>
      <c r="G38" s="3" t="s">
        <v>50</v>
      </c>
      <c r="H38" s="3" t="s">
        <v>338</v>
      </c>
      <c r="I38" s="198" t="s">
        <v>339</v>
      </c>
      <c r="J38" s="9" t="s">
        <v>340</v>
      </c>
      <c r="K38" s="10" t="s">
        <v>212</v>
      </c>
      <c r="L38" s="11">
        <v>2</v>
      </c>
      <c r="M38" s="11">
        <v>512</v>
      </c>
      <c r="N38" s="18">
        <v>478528</v>
      </c>
      <c r="O38" s="203"/>
      <c r="P38" s="18"/>
      <c r="Q38" s="10" t="s">
        <v>341</v>
      </c>
      <c r="R38" s="21">
        <v>3</v>
      </c>
      <c r="S38" s="14" t="s">
        <v>342</v>
      </c>
      <c r="T38" s="13" t="s">
        <v>343</v>
      </c>
      <c r="U38" s="13" t="s">
        <v>344</v>
      </c>
      <c r="V38" s="14" t="s">
        <v>345</v>
      </c>
      <c r="W38" s="14" t="s">
        <v>346</v>
      </c>
      <c r="X38" s="25">
        <v>0.25</v>
      </c>
      <c r="Y38" s="25">
        <v>0.916666666666667</v>
      </c>
      <c r="Z38" s="27">
        <v>23580</v>
      </c>
      <c r="AA38" s="27">
        <v>478528</v>
      </c>
      <c r="AB38" s="28"/>
      <c r="AC38" s="28"/>
      <c r="AD38" s="30"/>
      <c r="AE38" s="31"/>
      <c r="AF38" s="31"/>
      <c r="AG38" s="32"/>
      <c r="AH38" s="33"/>
      <c r="AI38" s="33"/>
      <c r="AJ38" s="33"/>
      <c r="AK38" s="34"/>
      <c r="AL38" s="36"/>
      <c r="AM38" s="36"/>
      <c r="AN38" s="36"/>
      <c r="AO38" s="32"/>
      <c r="AP38" s="40">
        <v>300000</v>
      </c>
      <c r="AQ38" s="41">
        <v>46051</v>
      </c>
      <c r="AR38" s="43">
        <f>AP38-(AA38+AE38+AF38)</f>
        <v>-178528</v>
      </c>
      <c r="AS38" s="40"/>
      <c r="AT38" s="46" t="s">
        <v>116</v>
      </c>
    </row>
    <row r="39" ht="73" hidden="1" customHeight="1" spans="1:46">
      <c r="A39" s="180" t="s">
        <v>347</v>
      </c>
      <c r="B39" s="4" t="s">
        <v>84</v>
      </c>
      <c r="C39" s="5" t="s">
        <v>48</v>
      </c>
      <c r="D39" s="10" t="s">
        <v>348</v>
      </c>
      <c r="E39" s="3" t="s">
        <v>349</v>
      </c>
      <c r="F39" s="3" t="s">
        <v>350</v>
      </c>
      <c r="G39" s="3" t="s">
        <v>50</v>
      </c>
      <c r="H39" s="3" t="s">
        <v>351</v>
      </c>
      <c r="I39" s="319" t="s">
        <v>352</v>
      </c>
      <c r="J39" s="9" t="s">
        <v>353</v>
      </c>
      <c r="K39" s="10" t="s">
        <v>354</v>
      </c>
      <c r="L39" s="11">
        <v>1</v>
      </c>
      <c r="M39" s="11">
        <v>168.9</v>
      </c>
      <c r="N39" s="18">
        <v>141781</v>
      </c>
      <c r="O39" s="203"/>
      <c r="P39" s="18"/>
      <c r="Q39" s="10"/>
      <c r="R39" s="21">
        <v>2</v>
      </c>
      <c r="S39" s="12" t="s">
        <v>250</v>
      </c>
      <c r="T39" s="22" t="s">
        <v>251</v>
      </c>
      <c r="U39" s="22" t="s">
        <v>355</v>
      </c>
      <c r="V39" s="14" t="s">
        <v>356</v>
      </c>
      <c r="W39" s="14" t="s">
        <v>357</v>
      </c>
      <c r="X39" s="209" t="s">
        <v>358</v>
      </c>
      <c r="Y39" s="209" t="s">
        <v>223</v>
      </c>
      <c r="Z39" s="28"/>
      <c r="AA39" s="28"/>
      <c r="AB39" s="28"/>
      <c r="AC39" s="28"/>
      <c r="AD39" s="30"/>
      <c r="AE39" s="31"/>
      <c r="AF39" s="31"/>
      <c r="AG39" s="32"/>
      <c r="AH39" s="33"/>
      <c r="AI39" s="33"/>
      <c r="AJ39" s="33"/>
      <c r="AK39" s="34"/>
      <c r="AL39" s="36"/>
      <c r="AM39" s="36"/>
      <c r="AN39" s="36"/>
      <c r="AO39" s="32"/>
      <c r="AP39" s="40">
        <v>70890</v>
      </c>
      <c r="AQ39" s="41" t="s">
        <v>359</v>
      </c>
      <c r="AR39" s="43">
        <f>AP39-(AA39+AE39+AF39)</f>
        <v>70890</v>
      </c>
      <c r="AS39" s="40"/>
      <c r="AT39" s="46" t="s">
        <v>116</v>
      </c>
    </row>
    <row r="40" ht="39" hidden="1" customHeight="1" spans="1:46">
      <c r="A40" s="282" t="s">
        <v>360</v>
      </c>
      <c r="B40" s="4" t="s">
        <v>84</v>
      </c>
      <c r="C40" s="5" t="s">
        <v>48</v>
      </c>
      <c r="D40" s="10" t="s">
        <v>361</v>
      </c>
      <c r="E40" s="286" t="s">
        <v>362</v>
      </c>
      <c r="F40" s="3" t="s">
        <v>131</v>
      </c>
      <c r="G40" s="3" t="s">
        <v>50</v>
      </c>
      <c r="H40" s="3" t="s">
        <v>363</v>
      </c>
      <c r="I40" s="319" t="s">
        <v>364</v>
      </c>
      <c r="J40" s="9" t="s">
        <v>365</v>
      </c>
      <c r="K40" s="10" t="s">
        <v>72</v>
      </c>
      <c r="L40" s="11">
        <v>1</v>
      </c>
      <c r="M40" s="11">
        <v>294.1</v>
      </c>
      <c r="N40" s="18">
        <v>140238</v>
      </c>
      <c r="O40" s="203"/>
      <c r="P40" s="18"/>
      <c r="Q40" s="10"/>
      <c r="R40" s="21"/>
      <c r="S40" s="12"/>
      <c r="T40" s="22"/>
      <c r="U40" s="22"/>
      <c r="V40" s="14"/>
      <c r="W40" s="14"/>
      <c r="X40" s="209" t="s">
        <v>80</v>
      </c>
      <c r="Y40" s="209" t="s">
        <v>73</v>
      </c>
      <c r="Z40" s="28"/>
      <c r="AA40" s="28"/>
      <c r="AB40" s="28"/>
      <c r="AC40" s="28"/>
      <c r="AD40" s="30"/>
      <c r="AE40" s="31"/>
      <c r="AF40" s="31"/>
      <c r="AG40" s="32"/>
      <c r="AH40" s="33"/>
      <c r="AI40" s="33"/>
      <c r="AJ40" s="33"/>
      <c r="AK40" s="34"/>
      <c r="AL40" s="36"/>
      <c r="AM40" s="36"/>
      <c r="AN40" s="36"/>
      <c r="AO40" s="32"/>
      <c r="AP40" s="40"/>
      <c r="AQ40" s="41"/>
      <c r="AR40" s="43"/>
      <c r="AS40" s="40"/>
      <c r="AT40" s="46" t="s">
        <v>116</v>
      </c>
    </row>
    <row r="41" ht="51" hidden="1" spans="1:46">
      <c r="A41" s="180" t="s">
        <v>366</v>
      </c>
      <c r="B41" s="4" t="s">
        <v>60</v>
      </c>
      <c r="C41" s="5" t="s">
        <v>48</v>
      </c>
      <c r="D41" s="10" t="s">
        <v>367</v>
      </c>
      <c r="E41" s="3" t="s">
        <v>144</v>
      </c>
      <c r="F41" s="3"/>
      <c r="G41" s="3" t="s">
        <v>86</v>
      </c>
      <c r="H41" s="3" t="s">
        <v>368</v>
      </c>
      <c r="I41" s="198" t="s">
        <v>369</v>
      </c>
      <c r="J41" s="9" t="s">
        <v>370</v>
      </c>
      <c r="K41" s="10" t="s">
        <v>122</v>
      </c>
      <c r="L41" s="11">
        <v>1</v>
      </c>
      <c r="M41" s="11">
        <v>62.3</v>
      </c>
      <c r="N41" s="18">
        <v>28932</v>
      </c>
      <c r="O41" s="203"/>
      <c r="P41" s="18"/>
      <c r="Q41" s="10"/>
      <c r="R41" s="21">
        <v>1</v>
      </c>
      <c r="S41" s="12"/>
      <c r="T41" s="22"/>
      <c r="U41" s="22"/>
      <c r="V41" s="14" t="s">
        <v>371</v>
      </c>
      <c r="W41" s="14" t="s">
        <v>372</v>
      </c>
      <c r="X41" s="209" t="s">
        <v>373</v>
      </c>
      <c r="Y41" s="209" t="s">
        <v>374</v>
      </c>
      <c r="Z41" s="28"/>
      <c r="AA41" s="28"/>
      <c r="AB41" s="28"/>
      <c r="AC41" s="28"/>
      <c r="AD41" s="30"/>
      <c r="AE41" s="31"/>
      <c r="AF41" s="31"/>
      <c r="AG41" s="32"/>
      <c r="AH41" s="33"/>
      <c r="AI41" s="33"/>
      <c r="AJ41" s="33"/>
      <c r="AK41" s="34"/>
      <c r="AL41" s="36"/>
      <c r="AM41" s="36"/>
      <c r="AN41" s="36"/>
      <c r="AO41" s="32"/>
      <c r="AP41" s="40"/>
      <c r="AQ41" s="41"/>
      <c r="AR41" s="43"/>
      <c r="AS41" s="40"/>
      <c r="AT41" s="46"/>
    </row>
    <row r="42" ht="64" hidden="1" customHeight="1" spans="1:46">
      <c r="A42" s="180" t="s">
        <v>375</v>
      </c>
      <c r="B42" s="181" t="s">
        <v>84</v>
      </c>
      <c r="C42" s="5" t="s">
        <v>48</v>
      </c>
      <c r="D42" s="10" t="s">
        <v>367</v>
      </c>
      <c r="E42" s="3" t="s">
        <v>144</v>
      </c>
      <c r="F42" s="3"/>
      <c r="G42" s="3" t="s">
        <v>86</v>
      </c>
      <c r="H42" s="3" t="s">
        <v>368</v>
      </c>
      <c r="I42" s="198" t="s">
        <v>369</v>
      </c>
      <c r="J42" s="9" t="s">
        <v>370</v>
      </c>
      <c r="K42" s="10" t="s">
        <v>212</v>
      </c>
      <c r="L42" s="11">
        <v>1</v>
      </c>
      <c r="M42" s="11">
        <v>62.3</v>
      </c>
      <c r="N42" s="18">
        <v>59905</v>
      </c>
      <c r="O42" s="203"/>
      <c r="P42" s="18"/>
      <c r="Q42" s="10"/>
      <c r="R42" s="21">
        <v>1</v>
      </c>
      <c r="S42" s="12" t="s">
        <v>376</v>
      </c>
      <c r="T42" s="297" t="s">
        <v>377</v>
      </c>
      <c r="U42" s="22"/>
      <c r="V42" s="14" t="s">
        <v>371</v>
      </c>
      <c r="W42" s="14" t="s">
        <v>372</v>
      </c>
      <c r="X42" s="209" t="s">
        <v>373</v>
      </c>
      <c r="Y42" s="209" t="s">
        <v>374</v>
      </c>
      <c r="Z42" s="28"/>
      <c r="AA42" s="28"/>
      <c r="AB42" s="28"/>
      <c r="AC42" s="28"/>
      <c r="AD42" s="30"/>
      <c r="AE42" s="31"/>
      <c r="AF42" s="31"/>
      <c r="AG42" s="32"/>
      <c r="AH42" s="33"/>
      <c r="AI42" s="33"/>
      <c r="AJ42" s="33"/>
      <c r="AK42" s="34"/>
      <c r="AL42" s="36"/>
      <c r="AM42" s="36"/>
      <c r="AN42" s="36"/>
      <c r="AO42" s="32"/>
      <c r="AP42" s="40"/>
      <c r="AQ42" s="41"/>
      <c r="AR42" s="43"/>
      <c r="AS42" s="40"/>
      <c r="AT42" s="46"/>
    </row>
    <row r="43" ht="66" hidden="1" customHeight="1" spans="1:46">
      <c r="A43" s="180" t="s">
        <v>378</v>
      </c>
      <c r="B43" s="181" t="s">
        <v>84</v>
      </c>
      <c r="C43" s="5" t="s">
        <v>48</v>
      </c>
      <c r="D43" s="190">
        <v>46132</v>
      </c>
      <c r="E43" s="3" t="s">
        <v>266</v>
      </c>
      <c r="F43" s="3" t="s">
        <v>105</v>
      </c>
      <c r="G43" s="3" t="s">
        <v>50</v>
      </c>
      <c r="H43" s="3" t="s">
        <v>379</v>
      </c>
      <c r="I43" s="287" t="s">
        <v>380</v>
      </c>
      <c r="J43" s="290" t="s">
        <v>381</v>
      </c>
      <c r="K43" s="10" t="s">
        <v>97</v>
      </c>
      <c r="L43" s="11">
        <v>1</v>
      </c>
      <c r="M43" s="11">
        <v>100.2</v>
      </c>
      <c r="N43" s="18">
        <v>95457</v>
      </c>
      <c r="O43" s="203"/>
      <c r="P43" s="18"/>
      <c r="Q43" s="10"/>
      <c r="R43" s="21">
        <v>1</v>
      </c>
      <c r="S43" s="12" t="s">
        <v>382</v>
      </c>
      <c r="T43" s="22" t="s">
        <v>296</v>
      </c>
      <c r="U43" s="22"/>
      <c r="V43" s="14" t="s">
        <v>383</v>
      </c>
      <c r="W43" s="14" t="s">
        <v>384</v>
      </c>
      <c r="X43" s="25" t="s">
        <v>385</v>
      </c>
      <c r="Y43" s="25" t="s">
        <v>386</v>
      </c>
      <c r="Z43" s="28"/>
      <c r="AA43" s="28"/>
      <c r="AB43" s="28"/>
      <c r="AC43" s="28"/>
      <c r="AD43" s="30"/>
      <c r="AE43" s="31"/>
      <c r="AF43" s="31"/>
      <c r="AG43" s="32"/>
      <c r="AH43" s="33"/>
      <c r="AI43" s="33"/>
      <c r="AJ43" s="33"/>
      <c r="AK43" s="34"/>
      <c r="AL43" s="36"/>
      <c r="AM43" s="36"/>
      <c r="AN43" s="36"/>
      <c r="AO43" s="32"/>
      <c r="AP43" s="299">
        <v>50000</v>
      </c>
      <c r="AQ43" s="300" t="s">
        <v>387</v>
      </c>
      <c r="AR43" s="304">
        <v>45457</v>
      </c>
      <c r="AS43" s="40"/>
      <c r="AT43" s="46"/>
    </row>
    <row r="44" ht="66" hidden="1" customHeight="1" spans="1:46">
      <c r="A44" s="180" t="s">
        <v>388</v>
      </c>
      <c r="B44" s="181" t="s">
        <v>389</v>
      </c>
      <c r="C44" s="5" t="s">
        <v>48</v>
      </c>
      <c r="D44" s="190" t="s">
        <v>390</v>
      </c>
      <c r="E44" s="3" t="s">
        <v>266</v>
      </c>
      <c r="F44" s="3" t="s">
        <v>105</v>
      </c>
      <c r="G44" s="3" t="s">
        <v>50</v>
      </c>
      <c r="H44" s="3" t="s">
        <v>391</v>
      </c>
      <c r="I44" s="319" t="s">
        <v>392</v>
      </c>
      <c r="J44" s="9" t="s">
        <v>393</v>
      </c>
      <c r="K44" s="10" t="s">
        <v>72</v>
      </c>
      <c r="L44" s="11">
        <v>1</v>
      </c>
      <c r="M44" s="11">
        <v>350.5</v>
      </c>
      <c r="N44" s="18">
        <v>230706</v>
      </c>
      <c r="O44" s="203"/>
      <c r="P44" s="18"/>
      <c r="Q44" s="10"/>
      <c r="R44" s="21">
        <v>3</v>
      </c>
      <c r="S44" s="12" t="s">
        <v>310</v>
      </c>
      <c r="T44" s="22" t="s">
        <v>243</v>
      </c>
      <c r="U44" s="22" t="s">
        <v>355</v>
      </c>
      <c r="V44" s="14" t="s">
        <v>98</v>
      </c>
      <c r="W44" s="14" t="s">
        <v>394</v>
      </c>
      <c r="X44" s="25" t="s">
        <v>73</v>
      </c>
      <c r="Y44" s="25" t="s">
        <v>114</v>
      </c>
      <c r="Z44" s="28"/>
      <c r="AA44" s="28"/>
      <c r="AB44" s="28"/>
      <c r="AC44" s="28"/>
      <c r="AD44" s="30"/>
      <c r="AE44" s="31"/>
      <c r="AF44" s="31"/>
      <c r="AG44" s="32"/>
      <c r="AH44" s="33"/>
      <c r="AI44" s="33"/>
      <c r="AJ44" s="33"/>
      <c r="AK44" s="34"/>
      <c r="AL44" s="36"/>
      <c r="AM44" s="36"/>
      <c r="AN44" s="36"/>
      <c r="AO44" s="32"/>
      <c r="AP44" s="40">
        <v>100000</v>
      </c>
      <c r="AQ44" s="41" t="s">
        <v>156</v>
      </c>
      <c r="AR44" s="43">
        <v>130706</v>
      </c>
      <c r="AS44" s="45" t="s">
        <v>395</v>
      </c>
      <c r="AT44" s="46" t="s">
        <v>116</v>
      </c>
    </row>
    <row r="45" ht="66" hidden="1" customHeight="1" spans="1:46">
      <c r="A45" s="180" t="s">
        <v>396</v>
      </c>
      <c r="B45" s="181" t="s">
        <v>84</v>
      </c>
      <c r="C45" s="5" t="s">
        <v>48</v>
      </c>
      <c r="D45" s="190">
        <v>46132</v>
      </c>
      <c r="E45" s="3" t="s">
        <v>266</v>
      </c>
      <c r="F45" s="3" t="s">
        <v>105</v>
      </c>
      <c r="G45" s="3" t="s">
        <v>50</v>
      </c>
      <c r="H45" s="3" t="s">
        <v>397</v>
      </c>
      <c r="I45" s="320" t="s">
        <v>398</v>
      </c>
      <c r="J45" s="290" t="s">
        <v>399</v>
      </c>
      <c r="K45" s="10" t="s">
        <v>400</v>
      </c>
      <c r="L45" s="11">
        <v>3</v>
      </c>
      <c r="M45" s="11">
        <v>334.3</v>
      </c>
      <c r="N45" s="18">
        <v>610000</v>
      </c>
      <c r="O45" s="203"/>
      <c r="P45" s="18"/>
      <c r="Q45" s="10"/>
      <c r="R45" s="21">
        <v>1</v>
      </c>
      <c r="S45" s="14" t="s">
        <v>401</v>
      </c>
      <c r="T45" s="13" t="s">
        <v>402</v>
      </c>
      <c r="U45" s="22"/>
      <c r="V45" s="14" t="s">
        <v>403</v>
      </c>
      <c r="W45" s="14" t="s">
        <v>404</v>
      </c>
      <c r="X45" s="25" t="s">
        <v>405</v>
      </c>
      <c r="Y45" s="25" t="s">
        <v>406</v>
      </c>
      <c r="Z45" s="28"/>
      <c r="AA45" s="28"/>
      <c r="AB45" s="28"/>
      <c r="AC45" s="28"/>
      <c r="AD45" s="30"/>
      <c r="AE45" s="31"/>
      <c r="AF45" s="31"/>
      <c r="AG45" s="32"/>
      <c r="AH45" s="33"/>
      <c r="AI45" s="33"/>
      <c r="AJ45" s="33"/>
      <c r="AK45" s="34"/>
      <c r="AL45" s="36"/>
      <c r="AM45" s="36"/>
      <c r="AN45" s="36"/>
      <c r="AO45" s="32"/>
      <c r="AP45" s="299"/>
      <c r="AQ45" s="300"/>
      <c r="AR45" s="304"/>
      <c r="AS45" s="40"/>
      <c r="AT45" s="46"/>
    </row>
    <row r="46" ht="66" hidden="1" customHeight="1" spans="1:46">
      <c r="A46" s="180" t="s">
        <v>407</v>
      </c>
      <c r="B46" s="181" t="s">
        <v>84</v>
      </c>
      <c r="C46" s="5" t="s">
        <v>48</v>
      </c>
      <c r="D46" s="190" t="s">
        <v>408</v>
      </c>
      <c r="E46" s="3" t="s">
        <v>266</v>
      </c>
      <c r="F46" s="3" t="s">
        <v>105</v>
      </c>
      <c r="G46" s="3" t="s">
        <v>50</v>
      </c>
      <c r="H46" s="3" t="s">
        <v>409</v>
      </c>
      <c r="I46" s="320" t="s">
        <v>410</v>
      </c>
      <c r="J46" s="291" t="s">
        <v>411</v>
      </c>
      <c r="K46" s="10" t="s">
        <v>303</v>
      </c>
      <c r="L46" s="11">
        <v>1</v>
      </c>
      <c r="M46" s="11">
        <v>987.7</v>
      </c>
      <c r="N46" s="18">
        <v>454000</v>
      </c>
      <c r="O46" s="203"/>
      <c r="P46" s="18"/>
      <c r="Q46" s="10"/>
      <c r="R46" s="21">
        <v>6</v>
      </c>
      <c r="S46" s="12" t="s">
        <v>412</v>
      </c>
      <c r="T46" s="22" t="s">
        <v>413</v>
      </c>
      <c r="U46" s="22" t="s">
        <v>414</v>
      </c>
      <c r="V46" s="14"/>
      <c r="W46" s="14"/>
      <c r="X46" s="25" t="s">
        <v>141</v>
      </c>
      <c r="Y46" s="25" t="s">
        <v>223</v>
      </c>
      <c r="Z46" s="28"/>
      <c r="AA46" s="28"/>
      <c r="AB46" s="28"/>
      <c r="AC46" s="28"/>
      <c r="AD46" s="30"/>
      <c r="AE46" s="31"/>
      <c r="AF46" s="31"/>
      <c r="AG46" s="32"/>
      <c r="AH46" s="33"/>
      <c r="AI46" s="33"/>
      <c r="AJ46" s="33"/>
      <c r="AK46" s="34"/>
      <c r="AL46" s="36"/>
      <c r="AM46" s="36"/>
      <c r="AN46" s="36"/>
      <c r="AO46" s="32"/>
      <c r="AP46" s="299">
        <v>100000</v>
      </c>
      <c r="AQ46" s="300" t="s">
        <v>415</v>
      </c>
      <c r="AR46" s="304"/>
      <c r="AS46" s="40"/>
      <c r="AT46" s="46" t="s">
        <v>116</v>
      </c>
    </row>
    <row r="47" ht="66" hidden="1" customHeight="1" spans="1:46">
      <c r="A47" s="180" t="s">
        <v>416</v>
      </c>
      <c r="B47" s="181" t="s">
        <v>84</v>
      </c>
      <c r="C47" s="5" t="s">
        <v>48</v>
      </c>
      <c r="D47" s="190">
        <v>46133</v>
      </c>
      <c r="E47" s="3" t="s">
        <v>118</v>
      </c>
      <c r="F47" s="3" t="s">
        <v>105</v>
      </c>
      <c r="G47" s="3" t="s">
        <v>50</v>
      </c>
      <c r="H47" s="3" t="s">
        <v>417</v>
      </c>
      <c r="I47" s="320" t="s">
        <v>418</v>
      </c>
      <c r="J47" s="290" t="s">
        <v>419</v>
      </c>
      <c r="K47" s="10" t="s">
        <v>420</v>
      </c>
      <c r="L47" s="11">
        <v>1</v>
      </c>
      <c r="M47" s="11">
        <v>0</v>
      </c>
      <c r="N47" s="18">
        <v>65000</v>
      </c>
      <c r="O47" s="203"/>
      <c r="P47" s="18"/>
      <c r="Q47" s="10"/>
      <c r="R47" s="21"/>
      <c r="S47" s="12" t="s">
        <v>376</v>
      </c>
      <c r="T47" s="13" t="s">
        <v>421</v>
      </c>
      <c r="U47" s="22" t="s">
        <v>422</v>
      </c>
      <c r="V47" s="14"/>
      <c r="W47" s="14"/>
      <c r="X47" s="25" t="s">
        <v>423</v>
      </c>
      <c r="Y47" s="25" t="s">
        <v>424</v>
      </c>
      <c r="Z47" s="28"/>
      <c r="AA47" s="28"/>
      <c r="AB47" s="28"/>
      <c r="AC47" s="28"/>
      <c r="AD47" s="30"/>
      <c r="AE47" s="31"/>
      <c r="AF47" s="31"/>
      <c r="AG47" s="32"/>
      <c r="AH47" s="33"/>
      <c r="AI47" s="33"/>
      <c r="AJ47" s="33"/>
      <c r="AK47" s="34"/>
      <c r="AL47" s="36"/>
      <c r="AM47" s="36"/>
      <c r="AN47" s="36"/>
      <c r="AO47" s="32"/>
      <c r="AP47" s="299">
        <v>20000</v>
      </c>
      <c r="AQ47" s="300" t="s">
        <v>425</v>
      </c>
      <c r="AR47" s="304"/>
      <c r="AS47" s="40"/>
      <c r="AT47" s="46"/>
    </row>
    <row r="48" ht="66" customHeight="1" spans="1:46">
      <c r="A48" s="180" t="s">
        <v>426</v>
      </c>
      <c r="B48" s="181"/>
      <c r="C48" s="5"/>
      <c r="D48" s="190"/>
      <c r="E48" s="3"/>
      <c r="F48" s="3"/>
      <c r="G48" s="3"/>
      <c r="H48" s="3"/>
      <c r="I48" s="287"/>
      <c r="J48" s="290"/>
      <c r="K48" s="10"/>
      <c r="L48" s="11"/>
      <c r="M48" s="11"/>
      <c r="N48" s="18"/>
      <c r="O48" s="203"/>
      <c r="P48" s="18"/>
      <c r="Q48" s="10"/>
      <c r="R48" s="21"/>
      <c r="S48" s="12"/>
      <c r="T48" s="22"/>
      <c r="U48" s="22"/>
      <c r="V48" s="14"/>
      <c r="W48" s="14"/>
      <c r="X48" s="25"/>
      <c r="Y48" s="25"/>
      <c r="Z48" s="28"/>
      <c r="AA48" s="28"/>
      <c r="AB48" s="28"/>
      <c r="AC48" s="28"/>
      <c r="AD48" s="30"/>
      <c r="AE48" s="31"/>
      <c r="AF48" s="31"/>
      <c r="AG48" s="32"/>
      <c r="AH48" s="33"/>
      <c r="AI48" s="33"/>
      <c r="AJ48" s="33"/>
      <c r="AK48" s="34"/>
      <c r="AL48" s="36"/>
      <c r="AM48" s="36"/>
      <c r="AN48" s="36"/>
      <c r="AO48" s="32"/>
      <c r="AP48" s="299"/>
      <c r="AQ48" s="300"/>
      <c r="AR48" s="304"/>
      <c r="AS48" s="40"/>
      <c r="AT48" s="46"/>
    </row>
    <row r="49" ht="66" hidden="1" customHeight="1" spans="1:46">
      <c r="A49" s="180" t="s">
        <v>427</v>
      </c>
      <c r="B49" s="181" t="s">
        <v>389</v>
      </c>
      <c r="C49" s="5" t="s">
        <v>48</v>
      </c>
      <c r="D49" s="190">
        <v>46136</v>
      </c>
      <c r="E49" s="3" t="s">
        <v>118</v>
      </c>
      <c r="F49" s="3" t="s">
        <v>105</v>
      </c>
      <c r="G49" s="3" t="s">
        <v>50</v>
      </c>
      <c r="H49" s="3" t="s">
        <v>379</v>
      </c>
      <c r="I49" s="287" t="s">
        <v>380</v>
      </c>
      <c r="J49" s="290" t="s">
        <v>428</v>
      </c>
      <c r="K49" s="10" t="s">
        <v>97</v>
      </c>
      <c r="L49" s="11">
        <v>1</v>
      </c>
      <c r="M49" s="11">
        <v>167.3</v>
      </c>
      <c r="N49" s="18">
        <v>121176</v>
      </c>
      <c r="O49" s="203"/>
      <c r="P49" s="18"/>
      <c r="Q49" s="10"/>
      <c r="R49" s="21"/>
      <c r="S49" s="12"/>
      <c r="T49" s="22"/>
      <c r="U49" s="22"/>
      <c r="V49" s="14"/>
      <c r="W49" s="14"/>
      <c r="X49" s="25" t="s">
        <v>429</v>
      </c>
      <c r="Y49" s="25" t="s">
        <v>430</v>
      </c>
      <c r="Z49" s="28"/>
      <c r="AA49" s="28"/>
      <c r="AB49" s="28"/>
      <c r="AC49" s="28"/>
      <c r="AD49" s="30"/>
      <c r="AE49" s="31"/>
      <c r="AF49" s="31"/>
      <c r="AG49" s="32"/>
      <c r="AH49" s="33"/>
      <c r="AI49" s="33"/>
      <c r="AJ49" s="33"/>
      <c r="AK49" s="34"/>
      <c r="AL49" s="36"/>
      <c r="AM49" s="36"/>
      <c r="AN49" s="36"/>
      <c r="AO49" s="32"/>
      <c r="AP49" s="299">
        <v>50000</v>
      </c>
      <c r="AQ49" s="300" t="s">
        <v>387</v>
      </c>
      <c r="AR49" s="304">
        <v>71176</v>
      </c>
      <c r="AS49" s="40"/>
      <c r="AT49" s="46"/>
    </row>
    <row r="50" ht="66" hidden="1" customHeight="1" spans="1:46">
      <c r="A50" s="180" t="s">
        <v>431</v>
      </c>
      <c r="B50" s="181" t="s">
        <v>389</v>
      </c>
      <c r="C50" s="5" t="s">
        <v>48</v>
      </c>
      <c r="D50" s="190">
        <v>46136</v>
      </c>
      <c r="E50" s="3" t="s">
        <v>432</v>
      </c>
      <c r="F50" s="3" t="s">
        <v>105</v>
      </c>
      <c r="G50" s="3" t="s">
        <v>50</v>
      </c>
      <c r="H50" s="3" t="s">
        <v>433</v>
      </c>
      <c r="I50" s="320" t="s">
        <v>434</v>
      </c>
      <c r="J50" s="290" t="s">
        <v>435</v>
      </c>
      <c r="K50" s="10" t="s">
        <v>436</v>
      </c>
      <c r="L50" s="11">
        <v>1</v>
      </c>
      <c r="M50" s="11">
        <v>80.6</v>
      </c>
      <c r="N50" s="18">
        <v>59987</v>
      </c>
      <c r="O50" s="203"/>
      <c r="P50" s="18"/>
      <c r="Q50" s="10"/>
      <c r="R50" s="21">
        <v>1</v>
      </c>
      <c r="S50" s="12"/>
      <c r="T50" s="22"/>
      <c r="U50" s="22"/>
      <c r="V50" s="14" t="s">
        <v>437</v>
      </c>
      <c r="W50" s="14" t="s">
        <v>67</v>
      </c>
      <c r="X50" s="25" t="s">
        <v>438</v>
      </c>
      <c r="Y50" s="25" t="s">
        <v>141</v>
      </c>
      <c r="Z50" s="28"/>
      <c r="AA50" s="28"/>
      <c r="AB50" s="28"/>
      <c r="AC50" s="28"/>
      <c r="AD50" s="30"/>
      <c r="AE50" s="31"/>
      <c r="AF50" s="31"/>
      <c r="AG50" s="32"/>
      <c r="AH50" s="33"/>
      <c r="AI50" s="33"/>
      <c r="AJ50" s="33"/>
      <c r="AK50" s="34"/>
      <c r="AL50" s="36"/>
      <c r="AM50" s="36"/>
      <c r="AN50" s="36"/>
      <c r="AO50" s="32"/>
      <c r="AP50" s="299">
        <v>30000</v>
      </c>
      <c r="AQ50" s="300" t="s">
        <v>439</v>
      </c>
      <c r="AR50" s="304"/>
      <c r="AS50" s="40"/>
      <c r="AT50" s="46"/>
    </row>
    <row r="51" ht="66" hidden="1" customHeight="1" spans="1:46">
      <c r="A51" s="180" t="s">
        <v>440</v>
      </c>
      <c r="B51" s="181" t="s">
        <v>389</v>
      </c>
      <c r="C51" s="5" t="s">
        <v>48</v>
      </c>
      <c r="D51" s="190">
        <v>45467</v>
      </c>
      <c r="E51" s="3" t="s">
        <v>266</v>
      </c>
      <c r="F51" s="3" t="s">
        <v>105</v>
      </c>
      <c r="G51" s="3" t="s">
        <v>50</v>
      </c>
      <c r="H51" s="3" t="s">
        <v>441</v>
      </c>
      <c r="I51" s="287">
        <v>773366956</v>
      </c>
      <c r="J51" s="290" t="s">
        <v>442</v>
      </c>
      <c r="K51" s="10" t="s">
        <v>122</v>
      </c>
      <c r="L51" s="11">
        <v>1</v>
      </c>
      <c r="M51" s="11">
        <v>48.1</v>
      </c>
      <c r="N51" s="18">
        <v>34294</v>
      </c>
      <c r="O51" s="203"/>
      <c r="P51" s="18"/>
      <c r="Q51" s="10"/>
      <c r="R51" s="21">
        <v>1</v>
      </c>
      <c r="S51" s="12"/>
      <c r="T51" s="22"/>
      <c r="U51" s="22"/>
      <c r="V51" s="14" t="s">
        <v>443</v>
      </c>
      <c r="W51" s="14" t="s">
        <v>444</v>
      </c>
      <c r="X51" s="25" t="s">
        <v>81</v>
      </c>
      <c r="Y51" s="25" t="s">
        <v>69</v>
      </c>
      <c r="Z51" s="28"/>
      <c r="AA51" s="28"/>
      <c r="AB51" s="28"/>
      <c r="AC51" s="28"/>
      <c r="AD51" s="30"/>
      <c r="AE51" s="31"/>
      <c r="AF51" s="31"/>
      <c r="AG51" s="32"/>
      <c r="AH51" s="33"/>
      <c r="AI51" s="33"/>
      <c r="AJ51" s="33"/>
      <c r="AK51" s="34"/>
      <c r="AL51" s="36"/>
      <c r="AM51" s="36"/>
      <c r="AN51" s="36"/>
      <c r="AO51" s="32"/>
      <c r="AP51" s="299">
        <v>17147</v>
      </c>
      <c r="AQ51" s="300" t="s">
        <v>445</v>
      </c>
      <c r="AR51" s="304">
        <v>17147</v>
      </c>
      <c r="AS51" s="40"/>
      <c r="AT51" s="46" t="s">
        <v>116</v>
      </c>
    </row>
    <row r="52" ht="66" hidden="1" customHeight="1" spans="1:46">
      <c r="A52" s="180" t="s">
        <v>446</v>
      </c>
      <c r="B52" s="181" t="s">
        <v>389</v>
      </c>
      <c r="C52" s="5" t="s">
        <v>48</v>
      </c>
      <c r="D52" s="190" t="s">
        <v>447</v>
      </c>
      <c r="E52" s="3" t="s">
        <v>266</v>
      </c>
      <c r="F52" s="3" t="s">
        <v>105</v>
      </c>
      <c r="G52" s="3" t="s">
        <v>50</v>
      </c>
      <c r="H52" s="3" t="s">
        <v>448</v>
      </c>
      <c r="I52" s="321" t="s">
        <v>449</v>
      </c>
      <c r="J52" s="293" t="s">
        <v>450</v>
      </c>
      <c r="K52" s="10" t="s">
        <v>122</v>
      </c>
      <c r="L52" s="11">
        <v>1</v>
      </c>
      <c r="M52" s="11">
        <v>1173.8</v>
      </c>
      <c r="N52" s="18">
        <v>385872</v>
      </c>
      <c r="O52" s="203"/>
      <c r="P52" s="18"/>
      <c r="Q52" s="10"/>
      <c r="R52" s="21"/>
      <c r="S52" s="12"/>
      <c r="T52" s="22"/>
      <c r="U52" s="22"/>
      <c r="V52" s="14"/>
      <c r="W52" s="14"/>
      <c r="X52" s="25" t="s">
        <v>451</v>
      </c>
      <c r="Y52" s="25" t="s">
        <v>452</v>
      </c>
      <c r="Z52" s="28"/>
      <c r="AA52" s="28"/>
      <c r="AB52" s="28"/>
      <c r="AC52" s="28"/>
      <c r="AD52" s="30"/>
      <c r="AE52" s="31"/>
      <c r="AF52" s="31"/>
      <c r="AG52" s="32"/>
      <c r="AH52" s="33"/>
      <c r="AI52" s="33"/>
      <c r="AJ52" s="33"/>
      <c r="AK52" s="34"/>
      <c r="AL52" s="36"/>
      <c r="AM52" s="36"/>
      <c r="AN52" s="36"/>
      <c r="AO52" s="32"/>
      <c r="AP52" s="305" t="s">
        <v>453</v>
      </c>
      <c r="AQ52" s="300" t="s">
        <v>425</v>
      </c>
      <c r="AR52" s="304">
        <v>185147</v>
      </c>
      <c r="AS52" s="40"/>
      <c r="AT52" s="46"/>
    </row>
    <row r="53" ht="66" hidden="1" customHeight="1" spans="1:46">
      <c r="A53" s="180" t="s">
        <v>454</v>
      </c>
      <c r="B53" s="181" t="s">
        <v>389</v>
      </c>
      <c r="C53" s="5" t="s">
        <v>48</v>
      </c>
      <c r="D53" s="190">
        <v>46137</v>
      </c>
      <c r="E53" s="287" t="s">
        <v>455</v>
      </c>
      <c r="F53" s="3" t="s">
        <v>456</v>
      </c>
      <c r="G53" s="3" t="s">
        <v>50</v>
      </c>
      <c r="H53" s="3" t="s">
        <v>457</v>
      </c>
      <c r="I53" s="285">
        <v>716832097</v>
      </c>
      <c r="J53" s="294" t="s">
        <v>458</v>
      </c>
      <c r="K53" s="10" t="s">
        <v>90</v>
      </c>
      <c r="L53" s="11">
        <v>1</v>
      </c>
      <c r="M53" s="11">
        <v>158.7</v>
      </c>
      <c r="N53" s="296">
        <v>45228</v>
      </c>
      <c r="O53" s="203"/>
      <c r="P53" s="18"/>
      <c r="Q53" s="10"/>
      <c r="R53" s="21"/>
      <c r="S53" s="12"/>
      <c r="T53" s="22"/>
      <c r="U53" s="22"/>
      <c r="V53" s="14"/>
      <c r="W53" s="14"/>
      <c r="X53" s="25" t="s">
        <v>73</v>
      </c>
      <c r="Y53" s="25" t="s">
        <v>141</v>
      </c>
      <c r="Z53" s="28"/>
      <c r="AA53" s="28"/>
      <c r="AB53" s="28"/>
      <c r="AC53" s="28"/>
      <c r="AD53" s="30"/>
      <c r="AE53" s="31"/>
      <c r="AF53" s="31"/>
      <c r="AG53" s="32"/>
      <c r="AH53" s="33"/>
      <c r="AI53" s="33"/>
      <c r="AJ53" s="33"/>
      <c r="AK53" s="34"/>
      <c r="AL53" s="36"/>
      <c r="AM53" s="36"/>
      <c r="AN53" s="36"/>
      <c r="AO53" s="32"/>
      <c r="AP53" s="299">
        <v>45228</v>
      </c>
      <c r="AQ53" s="300" t="s">
        <v>459</v>
      </c>
      <c r="AR53" s="304"/>
      <c r="AS53" s="40"/>
      <c r="AT53" s="46"/>
    </row>
    <row r="54" ht="66" hidden="1" customHeight="1" spans="1:46">
      <c r="A54" s="180" t="s">
        <v>460</v>
      </c>
      <c r="B54" s="181" t="s">
        <v>389</v>
      </c>
      <c r="C54" s="5" t="s">
        <v>48</v>
      </c>
      <c r="D54" s="190">
        <v>46137</v>
      </c>
      <c r="E54" s="3" t="s">
        <v>266</v>
      </c>
      <c r="F54" s="3" t="s">
        <v>105</v>
      </c>
      <c r="G54" s="3" t="s">
        <v>50</v>
      </c>
      <c r="H54" s="3" t="s">
        <v>461</v>
      </c>
      <c r="I54" s="321" t="s">
        <v>462</v>
      </c>
      <c r="J54" s="293" t="s">
        <v>463</v>
      </c>
      <c r="K54" s="10" t="s">
        <v>135</v>
      </c>
      <c r="L54" s="11">
        <v>1</v>
      </c>
      <c r="M54" s="11">
        <v>189</v>
      </c>
      <c r="N54" s="18">
        <v>129414</v>
      </c>
      <c r="O54" s="203"/>
      <c r="P54" s="18"/>
      <c r="Q54" s="10"/>
      <c r="R54" s="21"/>
      <c r="S54" s="12"/>
      <c r="T54" s="22"/>
      <c r="U54" s="22"/>
      <c r="V54" s="14"/>
      <c r="W54" s="14"/>
      <c r="X54" s="25" t="s">
        <v>464</v>
      </c>
      <c r="Y54" s="25" t="s">
        <v>465</v>
      </c>
      <c r="Z54" s="28"/>
      <c r="AA54" s="28"/>
      <c r="AB54" s="28"/>
      <c r="AC54" s="28"/>
      <c r="AD54" s="30"/>
      <c r="AE54" s="31"/>
      <c r="AF54" s="31"/>
      <c r="AG54" s="32"/>
      <c r="AH54" s="33"/>
      <c r="AI54" s="33"/>
      <c r="AJ54" s="33"/>
      <c r="AK54" s="34"/>
      <c r="AL54" s="36"/>
      <c r="AM54" s="36"/>
      <c r="AN54" s="36"/>
      <c r="AO54" s="32"/>
      <c r="AP54" s="299">
        <v>65000</v>
      </c>
      <c r="AQ54" s="300" t="s">
        <v>459</v>
      </c>
      <c r="AR54" s="304">
        <v>64414</v>
      </c>
      <c r="AS54" s="40"/>
      <c r="AT54" s="46"/>
    </row>
    <row r="55" ht="66" hidden="1" customHeight="1" spans="1:46">
      <c r="A55" s="180" t="s">
        <v>466</v>
      </c>
      <c r="B55" s="181" t="s">
        <v>389</v>
      </c>
      <c r="C55" s="5" t="s">
        <v>48</v>
      </c>
      <c r="D55" s="190">
        <v>46137</v>
      </c>
      <c r="E55" s="3" t="s">
        <v>266</v>
      </c>
      <c r="F55" s="3" t="s">
        <v>105</v>
      </c>
      <c r="G55" s="3" t="s">
        <v>50</v>
      </c>
      <c r="H55" s="3" t="s">
        <v>467</v>
      </c>
      <c r="I55" s="288">
        <v>755628782</v>
      </c>
      <c r="J55" s="293" t="s">
        <v>468</v>
      </c>
      <c r="K55" s="10" t="s">
        <v>469</v>
      </c>
      <c r="L55" s="11">
        <v>2</v>
      </c>
      <c r="M55" s="11">
        <v>104.7</v>
      </c>
      <c r="N55" s="18">
        <v>120000</v>
      </c>
      <c r="O55" s="203"/>
      <c r="P55" s="18"/>
      <c r="Q55" s="10"/>
      <c r="R55" s="21"/>
      <c r="S55" s="12"/>
      <c r="T55" s="22"/>
      <c r="U55" s="22"/>
      <c r="V55" s="14"/>
      <c r="W55" s="14"/>
      <c r="X55" s="25" t="s">
        <v>73</v>
      </c>
      <c r="Y55" s="25" t="s">
        <v>69</v>
      </c>
      <c r="Z55" s="28"/>
      <c r="AA55" s="28"/>
      <c r="AB55" s="28"/>
      <c r="AC55" s="28"/>
      <c r="AD55" s="30"/>
      <c r="AE55" s="31"/>
      <c r="AF55" s="31"/>
      <c r="AG55" s="32"/>
      <c r="AH55" s="33"/>
      <c r="AI55" s="33"/>
      <c r="AJ55" s="33"/>
      <c r="AK55" s="34"/>
      <c r="AL55" s="36"/>
      <c r="AM55" s="36"/>
      <c r="AN55" s="36"/>
      <c r="AO55" s="32"/>
      <c r="AP55" s="299">
        <v>50000</v>
      </c>
      <c r="AQ55" s="300" t="s">
        <v>470</v>
      </c>
      <c r="AR55" s="304"/>
      <c r="AS55" s="40"/>
      <c r="AT55" s="46"/>
    </row>
    <row r="56" ht="66" hidden="1" customHeight="1" spans="1:46">
      <c r="A56" s="180" t="s">
        <v>471</v>
      </c>
      <c r="B56" s="181" t="s">
        <v>389</v>
      </c>
      <c r="C56" s="5" t="s">
        <v>48</v>
      </c>
      <c r="D56" s="190">
        <v>46139</v>
      </c>
      <c r="E56" s="3" t="s">
        <v>266</v>
      </c>
      <c r="F56" s="3" t="s">
        <v>105</v>
      </c>
      <c r="G56" s="3" t="s">
        <v>50</v>
      </c>
      <c r="H56" s="3" t="s">
        <v>472</v>
      </c>
      <c r="I56" s="288">
        <v>775559919</v>
      </c>
      <c r="J56" s="293" t="s">
        <v>473</v>
      </c>
      <c r="K56" s="10" t="s">
        <v>474</v>
      </c>
      <c r="L56" s="11">
        <v>1</v>
      </c>
      <c r="M56" s="11">
        <v>99</v>
      </c>
      <c r="N56" s="18">
        <v>40350</v>
      </c>
      <c r="O56" s="203"/>
      <c r="P56" s="18"/>
      <c r="Q56" s="10"/>
      <c r="R56" s="21"/>
      <c r="S56" s="12"/>
      <c r="T56" s="22"/>
      <c r="U56" s="22"/>
      <c r="V56" s="14"/>
      <c r="W56" s="14"/>
      <c r="X56" s="25" t="s">
        <v>73</v>
      </c>
      <c r="Y56" s="298" t="s">
        <v>475</v>
      </c>
      <c r="Z56" s="28"/>
      <c r="AA56" s="28"/>
      <c r="AB56" s="28"/>
      <c r="AC56" s="28"/>
      <c r="AD56" s="30"/>
      <c r="AE56" s="31"/>
      <c r="AF56" s="31"/>
      <c r="AG56" s="32"/>
      <c r="AH56" s="33"/>
      <c r="AI56" s="33"/>
      <c r="AJ56" s="33"/>
      <c r="AK56" s="34"/>
      <c r="AL56" s="36"/>
      <c r="AM56" s="36"/>
      <c r="AN56" s="36"/>
      <c r="AO56" s="32"/>
      <c r="AP56" s="299">
        <v>10000</v>
      </c>
      <c r="AQ56" s="300" t="s">
        <v>476</v>
      </c>
      <c r="AR56" s="304"/>
      <c r="AS56" s="40"/>
      <c r="AT56" s="46"/>
    </row>
    <row r="57" ht="66" hidden="1" customHeight="1" spans="1:46">
      <c r="A57" s="180" t="s">
        <v>477</v>
      </c>
      <c r="B57" s="181" t="s">
        <v>389</v>
      </c>
      <c r="C57" s="5" t="s">
        <v>48</v>
      </c>
      <c r="D57" s="190">
        <v>46141</v>
      </c>
      <c r="E57" s="3" t="s">
        <v>118</v>
      </c>
      <c r="F57" s="3" t="s">
        <v>105</v>
      </c>
      <c r="G57" s="3" t="s">
        <v>50</v>
      </c>
      <c r="H57" s="3" t="s">
        <v>379</v>
      </c>
      <c r="I57" s="319" t="s">
        <v>478</v>
      </c>
      <c r="J57" s="293" t="s">
        <v>479</v>
      </c>
      <c r="K57" s="10" t="s">
        <v>54</v>
      </c>
      <c r="L57" s="11">
        <v>1</v>
      </c>
      <c r="M57" s="11">
        <v>204.7</v>
      </c>
      <c r="N57" s="18">
        <v>190177</v>
      </c>
      <c r="O57" s="203"/>
      <c r="P57" s="18"/>
      <c r="Q57" s="10"/>
      <c r="R57" s="21"/>
      <c r="S57" s="12"/>
      <c r="T57" s="22"/>
      <c r="U57" s="22"/>
      <c r="V57" s="14"/>
      <c r="W57" s="14"/>
      <c r="X57" s="25" t="s">
        <v>480</v>
      </c>
      <c r="Y57" s="25" t="s">
        <v>481</v>
      </c>
      <c r="Z57" s="28"/>
      <c r="AA57" s="28"/>
      <c r="AB57" s="28"/>
      <c r="AC57" s="28"/>
      <c r="AD57" s="30"/>
      <c r="AE57" s="31"/>
      <c r="AF57" s="31"/>
      <c r="AG57" s="32"/>
      <c r="AH57" s="33"/>
      <c r="AI57" s="33"/>
      <c r="AJ57" s="33"/>
      <c r="AK57" s="34"/>
      <c r="AL57" s="36"/>
      <c r="AM57" s="36"/>
      <c r="AN57" s="36"/>
      <c r="AO57" s="32"/>
      <c r="AP57" s="299">
        <v>50000</v>
      </c>
      <c r="AQ57" s="300" t="s">
        <v>387</v>
      </c>
      <c r="AR57" s="304">
        <v>140177</v>
      </c>
      <c r="AS57" s="40"/>
      <c r="AT57" s="46"/>
    </row>
    <row r="58" ht="66" customHeight="1" spans="1:46">
      <c r="A58" s="283" t="s">
        <v>482</v>
      </c>
      <c r="B58" s="181" t="s">
        <v>389</v>
      </c>
      <c r="C58" s="5" t="s">
        <v>483</v>
      </c>
      <c r="D58" s="190" t="s">
        <v>484</v>
      </c>
      <c r="E58" s="3" t="s">
        <v>485</v>
      </c>
      <c r="F58" s="3" t="s">
        <v>131</v>
      </c>
      <c r="G58" s="3" t="s">
        <v>50</v>
      </c>
      <c r="H58" s="3" t="s">
        <v>486</v>
      </c>
      <c r="I58" s="295">
        <v>771695920</v>
      </c>
      <c r="J58" s="293" t="s">
        <v>487</v>
      </c>
      <c r="K58" s="10" t="s">
        <v>122</v>
      </c>
      <c r="L58" s="11">
        <v>1</v>
      </c>
      <c r="M58" s="18">
        <v>585.3</v>
      </c>
      <c r="N58" s="296"/>
      <c r="O58" s="203"/>
      <c r="P58" s="18"/>
      <c r="Q58" s="10"/>
      <c r="R58" s="21"/>
      <c r="S58" s="12"/>
      <c r="T58" s="22"/>
      <c r="U58" s="22"/>
      <c r="V58" s="14"/>
      <c r="W58" s="14"/>
      <c r="X58" s="25" t="s">
        <v>68</v>
      </c>
      <c r="Y58" s="25" t="s">
        <v>114</v>
      </c>
      <c r="Z58" s="28"/>
      <c r="AA58" s="28"/>
      <c r="AB58" s="28"/>
      <c r="AC58" s="28"/>
      <c r="AD58" s="30"/>
      <c r="AE58" s="31"/>
      <c r="AF58" s="31"/>
      <c r="AG58" s="32"/>
      <c r="AH58" s="33"/>
      <c r="AI58" s="33"/>
      <c r="AJ58" s="33"/>
      <c r="AK58" s="34"/>
      <c r="AL58" s="36"/>
      <c r="AM58" s="36"/>
      <c r="AN58" s="36"/>
      <c r="AO58" s="32"/>
      <c r="AP58" s="299">
        <v>75000</v>
      </c>
      <c r="AQ58" s="300" t="s">
        <v>459</v>
      </c>
      <c r="AR58" s="304"/>
      <c r="AS58" s="40"/>
      <c r="AT58" s="46"/>
    </row>
    <row r="59" ht="66" hidden="1" customHeight="1" spans="1:46">
      <c r="A59" s="180" t="s">
        <v>488</v>
      </c>
      <c r="B59" s="181" t="s">
        <v>389</v>
      </c>
      <c r="C59" s="5" t="s">
        <v>48</v>
      </c>
      <c r="D59" s="190">
        <v>46141</v>
      </c>
      <c r="E59" s="3" t="s">
        <v>266</v>
      </c>
      <c r="F59" s="3" t="s">
        <v>105</v>
      </c>
      <c r="G59" s="3" t="s">
        <v>50</v>
      </c>
      <c r="H59" s="3" t="s">
        <v>489</v>
      </c>
      <c r="I59" s="319" t="s">
        <v>490</v>
      </c>
      <c r="J59" s="293" t="s">
        <v>491</v>
      </c>
      <c r="K59" s="10" t="s">
        <v>492</v>
      </c>
      <c r="L59" s="11">
        <v>1</v>
      </c>
      <c r="M59" s="11">
        <v>153.4</v>
      </c>
      <c r="N59" s="18">
        <v>110000</v>
      </c>
      <c r="O59" s="203"/>
      <c r="P59" s="18"/>
      <c r="Q59" s="10"/>
      <c r="R59" s="21">
        <v>1</v>
      </c>
      <c r="S59" s="12"/>
      <c r="T59" s="22"/>
      <c r="U59" s="22"/>
      <c r="V59" s="14"/>
      <c r="W59" s="14"/>
      <c r="X59" s="25" t="s">
        <v>80</v>
      </c>
      <c r="Y59" s="25" t="s">
        <v>424</v>
      </c>
      <c r="Z59" s="28"/>
      <c r="AA59" s="28"/>
      <c r="AB59" s="28"/>
      <c r="AC59" s="28"/>
      <c r="AD59" s="30"/>
      <c r="AE59" s="31"/>
      <c r="AF59" s="31"/>
      <c r="AG59" s="32"/>
      <c r="AH59" s="33"/>
      <c r="AI59" s="33"/>
      <c r="AJ59" s="33"/>
      <c r="AK59" s="34"/>
      <c r="AL59" s="36"/>
      <c r="AM59" s="36"/>
      <c r="AN59" s="36"/>
      <c r="AO59" s="32"/>
      <c r="AP59" s="37">
        <v>50000</v>
      </c>
      <c r="AQ59" s="38" t="s">
        <v>445</v>
      </c>
      <c r="AR59" s="302">
        <v>410000</v>
      </c>
      <c r="AS59" s="40"/>
      <c r="AT59" s="46"/>
    </row>
    <row r="60" ht="66" hidden="1" customHeight="1" spans="1:46">
      <c r="A60" s="180" t="s">
        <v>493</v>
      </c>
      <c r="B60" s="181" t="s">
        <v>389</v>
      </c>
      <c r="C60" s="5" t="s">
        <v>48</v>
      </c>
      <c r="D60" s="190">
        <v>46143</v>
      </c>
      <c r="E60" s="3" t="s">
        <v>266</v>
      </c>
      <c r="F60" s="3" t="s">
        <v>105</v>
      </c>
      <c r="G60" s="3" t="s">
        <v>50</v>
      </c>
      <c r="H60" s="3" t="s">
        <v>489</v>
      </c>
      <c r="I60" s="319" t="s">
        <v>490</v>
      </c>
      <c r="J60" s="293" t="s">
        <v>491</v>
      </c>
      <c r="K60" s="10" t="s">
        <v>492</v>
      </c>
      <c r="L60" s="11">
        <v>1</v>
      </c>
      <c r="M60" s="11">
        <v>153.4</v>
      </c>
      <c r="N60" s="18">
        <v>110000</v>
      </c>
      <c r="O60" s="203"/>
      <c r="P60" s="18"/>
      <c r="Q60" s="10"/>
      <c r="R60" s="21">
        <v>1</v>
      </c>
      <c r="S60" s="12"/>
      <c r="T60" s="22"/>
      <c r="U60" s="22"/>
      <c r="V60" s="14"/>
      <c r="W60" s="14"/>
      <c r="X60" s="25" t="s">
        <v>80</v>
      </c>
      <c r="Y60" s="25" t="s">
        <v>424</v>
      </c>
      <c r="Z60" s="28"/>
      <c r="AA60" s="28"/>
      <c r="AB60" s="28"/>
      <c r="AC60" s="28"/>
      <c r="AD60" s="30"/>
      <c r="AE60" s="31"/>
      <c r="AF60" s="31"/>
      <c r="AG60" s="32"/>
      <c r="AH60" s="33"/>
      <c r="AI60" s="33"/>
      <c r="AJ60" s="33"/>
      <c r="AK60" s="34"/>
      <c r="AL60" s="36"/>
      <c r="AM60" s="36"/>
      <c r="AN60" s="36"/>
      <c r="AO60" s="32"/>
      <c r="AP60" s="37"/>
      <c r="AQ60" s="38"/>
      <c r="AR60" s="302"/>
      <c r="AS60" s="40"/>
      <c r="AT60" s="46"/>
    </row>
    <row r="61" ht="66" hidden="1" customHeight="1" spans="1:46">
      <c r="A61" s="180" t="s">
        <v>488</v>
      </c>
      <c r="B61" s="181" t="s">
        <v>389</v>
      </c>
      <c r="C61" s="5" t="s">
        <v>48</v>
      </c>
      <c r="D61" s="190">
        <v>46145</v>
      </c>
      <c r="E61" s="3" t="s">
        <v>266</v>
      </c>
      <c r="F61" s="3" t="s">
        <v>105</v>
      </c>
      <c r="G61" s="3" t="s">
        <v>50</v>
      </c>
      <c r="H61" s="3" t="s">
        <v>489</v>
      </c>
      <c r="I61" s="319" t="s">
        <v>490</v>
      </c>
      <c r="J61" s="293" t="s">
        <v>494</v>
      </c>
      <c r="K61" s="10" t="s">
        <v>492</v>
      </c>
      <c r="L61" s="11">
        <v>3</v>
      </c>
      <c r="M61" s="11">
        <v>117.3</v>
      </c>
      <c r="N61" s="18">
        <v>340000</v>
      </c>
      <c r="O61" s="203"/>
      <c r="P61" s="18"/>
      <c r="Q61" s="10"/>
      <c r="R61" s="21">
        <v>1</v>
      </c>
      <c r="S61" s="12"/>
      <c r="T61" s="22"/>
      <c r="U61" s="22"/>
      <c r="V61" s="14"/>
      <c r="W61" s="14"/>
      <c r="X61" s="25" t="s">
        <v>80</v>
      </c>
      <c r="Y61" s="25" t="s">
        <v>264</v>
      </c>
      <c r="Z61" s="28"/>
      <c r="AA61" s="28"/>
      <c r="AB61" s="28"/>
      <c r="AC61" s="28"/>
      <c r="AD61" s="30"/>
      <c r="AE61" s="31"/>
      <c r="AF61" s="31"/>
      <c r="AG61" s="32"/>
      <c r="AH61" s="33"/>
      <c r="AI61" s="33"/>
      <c r="AJ61" s="33"/>
      <c r="AK61" s="34"/>
      <c r="AL61" s="36"/>
      <c r="AM61" s="36"/>
      <c r="AN61" s="36"/>
      <c r="AO61" s="32"/>
      <c r="AP61" s="40"/>
      <c r="AQ61" s="41"/>
      <c r="AR61" s="303"/>
      <c r="AS61" s="40"/>
      <c r="AT61" s="46"/>
    </row>
    <row r="62" ht="66" customHeight="1" spans="1:46">
      <c r="A62" s="180" t="s">
        <v>495</v>
      </c>
      <c r="B62" s="181" t="s">
        <v>389</v>
      </c>
      <c r="C62" s="5" t="s">
        <v>483</v>
      </c>
      <c r="D62" s="10" t="s">
        <v>496</v>
      </c>
      <c r="E62" s="3" t="s">
        <v>497</v>
      </c>
      <c r="F62" s="3" t="s">
        <v>119</v>
      </c>
      <c r="G62" s="3" t="s">
        <v>50</v>
      </c>
      <c r="H62" s="3" t="s">
        <v>498</v>
      </c>
      <c r="I62" s="198" t="s">
        <v>499</v>
      </c>
      <c r="J62" s="9" t="s">
        <v>500</v>
      </c>
      <c r="K62" s="10" t="s">
        <v>212</v>
      </c>
      <c r="L62" s="11">
        <v>2</v>
      </c>
      <c r="M62" s="11">
        <v>174</v>
      </c>
      <c r="N62" s="18"/>
      <c r="O62" s="203"/>
      <c r="P62" s="18"/>
      <c r="Q62" s="10"/>
      <c r="R62" s="21"/>
      <c r="S62" s="12"/>
      <c r="T62" s="22"/>
      <c r="U62" s="22"/>
      <c r="V62" s="14"/>
      <c r="W62" s="14"/>
      <c r="X62" s="25"/>
      <c r="Y62" s="25"/>
      <c r="Z62" s="28"/>
      <c r="AA62" s="28"/>
      <c r="AB62" s="28"/>
      <c r="AC62" s="28"/>
      <c r="AD62" s="30"/>
      <c r="AE62" s="31"/>
      <c r="AF62" s="31"/>
      <c r="AG62" s="32"/>
      <c r="AH62" s="33"/>
      <c r="AI62" s="33"/>
      <c r="AJ62" s="33"/>
      <c r="AK62" s="34"/>
      <c r="AL62" s="36"/>
      <c r="AM62" s="36"/>
      <c r="AN62" s="36"/>
      <c r="AO62" s="32"/>
      <c r="AP62" s="40">
        <v>125000</v>
      </c>
      <c r="AQ62" s="41">
        <v>46086</v>
      </c>
      <c r="AR62" s="43">
        <f>AP62-(N62+AE62+AF62)</f>
        <v>125000</v>
      </c>
      <c r="AS62" s="40"/>
      <c r="AT62" s="46" t="s">
        <v>501</v>
      </c>
    </row>
    <row r="63" ht="61" customHeight="1" spans="1:46">
      <c r="A63" s="180" t="s">
        <v>502</v>
      </c>
      <c r="B63" s="4" t="s">
        <v>389</v>
      </c>
      <c r="C63" s="5" t="s">
        <v>483</v>
      </c>
      <c r="D63" s="190" t="s">
        <v>503</v>
      </c>
      <c r="E63" s="3" t="s">
        <v>266</v>
      </c>
      <c r="F63" s="3" t="s">
        <v>504</v>
      </c>
      <c r="G63" s="3" t="s">
        <v>50</v>
      </c>
      <c r="H63" s="265" t="s">
        <v>505</v>
      </c>
      <c r="I63" s="319" t="s">
        <v>506</v>
      </c>
      <c r="J63" s="9" t="s">
        <v>507</v>
      </c>
      <c r="K63" s="10" t="s">
        <v>508</v>
      </c>
      <c r="L63" s="11">
        <v>1</v>
      </c>
      <c r="M63" s="11">
        <v>372.1</v>
      </c>
      <c r="N63" s="18"/>
      <c r="O63" s="203"/>
      <c r="P63" s="18"/>
      <c r="Q63" s="10"/>
      <c r="R63" s="21">
        <v>2</v>
      </c>
      <c r="S63" s="12"/>
      <c r="T63" s="22"/>
      <c r="U63" s="22"/>
      <c r="V63" s="14" t="s">
        <v>509</v>
      </c>
      <c r="W63" s="14"/>
      <c r="X63" s="209" t="s">
        <v>68</v>
      </c>
      <c r="Y63" s="209" t="s">
        <v>155</v>
      </c>
      <c r="Z63" s="28"/>
      <c r="AA63" s="28"/>
      <c r="AB63" s="28"/>
      <c r="AC63" s="28"/>
      <c r="AD63" s="30"/>
      <c r="AE63" s="31"/>
      <c r="AF63" s="31"/>
      <c r="AG63" s="32"/>
      <c r="AH63" s="33"/>
      <c r="AI63" s="33"/>
      <c r="AJ63" s="33"/>
      <c r="AK63" s="34"/>
      <c r="AL63" s="36"/>
      <c r="AM63" s="36"/>
      <c r="AN63" s="36"/>
      <c r="AO63" s="32"/>
      <c r="AP63" s="40">
        <v>90000</v>
      </c>
      <c r="AQ63" s="41" t="s">
        <v>510</v>
      </c>
      <c r="AR63" s="43">
        <f>AP63-(N63+AE63+AF63)</f>
        <v>90000</v>
      </c>
      <c r="AS63" s="40"/>
      <c r="AT63" s="46"/>
    </row>
    <row r="64" ht="56" customHeight="1" spans="1:46">
      <c r="A64" s="180" t="s">
        <v>511</v>
      </c>
      <c r="B64" s="4" t="s">
        <v>512</v>
      </c>
      <c r="C64" s="5" t="s">
        <v>483</v>
      </c>
      <c r="D64" s="190" t="s">
        <v>513</v>
      </c>
      <c r="E64" s="3" t="s">
        <v>266</v>
      </c>
      <c r="F64" s="3" t="s">
        <v>105</v>
      </c>
      <c r="G64" s="3" t="s">
        <v>50</v>
      </c>
      <c r="H64" s="3" t="s">
        <v>379</v>
      </c>
      <c r="I64" s="319" t="s">
        <v>478</v>
      </c>
      <c r="J64" s="9" t="s">
        <v>514</v>
      </c>
      <c r="K64" s="10" t="s">
        <v>54</v>
      </c>
      <c r="L64" s="11">
        <v>1</v>
      </c>
      <c r="M64" s="11">
        <v>344.2</v>
      </c>
      <c r="N64" s="18"/>
      <c r="O64" s="203"/>
      <c r="P64" s="18"/>
      <c r="Q64" s="10"/>
      <c r="R64" s="21"/>
      <c r="S64" s="12"/>
      <c r="T64" s="22"/>
      <c r="U64" s="22"/>
      <c r="V64" s="14" t="s">
        <v>515</v>
      </c>
      <c r="W64" s="14" t="s">
        <v>383</v>
      </c>
      <c r="X64" s="209" t="s">
        <v>516</v>
      </c>
      <c r="Y64" s="209" t="s">
        <v>80</v>
      </c>
      <c r="Z64" s="28"/>
      <c r="AA64" s="28"/>
      <c r="AB64" s="28"/>
      <c r="AC64" s="28"/>
      <c r="AD64" s="30"/>
      <c r="AE64" s="31"/>
      <c r="AF64" s="31"/>
      <c r="AG64" s="32"/>
      <c r="AH64" s="33"/>
      <c r="AI64" s="33"/>
      <c r="AJ64" s="33"/>
      <c r="AK64" s="34"/>
      <c r="AL64" s="36"/>
      <c r="AM64" s="36"/>
      <c r="AN64" s="36"/>
      <c r="AO64" s="32"/>
      <c r="AP64" s="40"/>
      <c r="AQ64" s="41"/>
      <c r="AR64" s="43"/>
      <c r="AS64" s="40"/>
      <c r="AT64" s="46"/>
    </row>
    <row r="65" ht="56" customHeight="1" spans="1:46">
      <c r="A65" s="180" t="s">
        <v>517</v>
      </c>
      <c r="B65" s="4" t="s">
        <v>389</v>
      </c>
      <c r="C65" s="5" t="s">
        <v>483</v>
      </c>
      <c r="D65" s="190" t="s">
        <v>518</v>
      </c>
      <c r="E65" s="3" t="s">
        <v>519</v>
      </c>
      <c r="F65" s="3" t="s">
        <v>105</v>
      </c>
      <c r="G65" s="3" t="s">
        <v>50</v>
      </c>
      <c r="H65" s="3" t="s">
        <v>520</v>
      </c>
      <c r="I65" s="286">
        <v>777939180</v>
      </c>
      <c r="J65" s="9" t="s">
        <v>521</v>
      </c>
      <c r="K65" s="10" t="s">
        <v>78</v>
      </c>
      <c r="L65" s="11">
        <v>1</v>
      </c>
      <c r="M65" s="11">
        <v>21180</v>
      </c>
      <c r="N65" s="296"/>
      <c r="O65" s="203"/>
      <c r="P65" s="18"/>
      <c r="Q65" s="10"/>
      <c r="R65" s="21"/>
      <c r="S65" s="12"/>
      <c r="T65" s="22"/>
      <c r="U65" s="22"/>
      <c r="V65" s="14"/>
      <c r="W65" s="14"/>
      <c r="X65" s="209" t="s">
        <v>406</v>
      </c>
      <c r="Y65" s="209"/>
      <c r="Z65" s="28"/>
      <c r="AA65" s="28"/>
      <c r="AB65" s="28"/>
      <c r="AC65" s="28"/>
      <c r="AD65" s="30"/>
      <c r="AE65" s="31"/>
      <c r="AF65" s="31"/>
      <c r="AG65" s="32"/>
      <c r="AH65" s="33"/>
      <c r="AI65" s="33"/>
      <c r="AJ65" s="33"/>
      <c r="AK65" s="34"/>
      <c r="AL65" s="36"/>
      <c r="AM65" s="36"/>
      <c r="AN65" s="36"/>
      <c r="AO65" s="32"/>
      <c r="AP65" s="40">
        <v>81804</v>
      </c>
      <c r="AQ65" s="41"/>
      <c r="AR65" s="43"/>
      <c r="AS65" s="40"/>
      <c r="AT65" s="46"/>
    </row>
    <row r="66" ht="56" customHeight="1" spans="1:46">
      <c r="A66" s="180" t="s">
        <v>522</v>
      </c>
      <c r="B66" s="4" t="s">
        <v>389</v>
      </c>
      <c r="C66" s="5" t="s">
        <v>483</v>
      </c>
      <c r="D66" s="190">
        <v>46150</v>
      </c>
      <c r="E66" s="3" t="s">
        <v>523</v>
      </c>
      <c r="F66" s="3" t="s">
        <v>524</v>
      </c>
      <c r="G66" s="3" t="s">
        <v>50</v>
      </c>
      <c r="H66" s="3" t="s">
        <v>525</v>
      </c>
      <c r="I66" s="319" t="s">
        <v>526</v>
      </c>
      <c r="J66" s="9" t="s">
        <v>527</v>
      </c>
      <c r="K66" s="10" t="s">
        <v>528</v>
      </c>
      <c r="L66" s="11">
        <v>3</v>
      </c>
      <c r="M66" s="11">
        <v>5.9</v>
      </c>
      <c r="N66" s="18"/>
      <c r="O66" s="203"/>
      <c r="P66" s="18"/>
      <c r="Q66" s="10"/>
      <c r="R66" s="21">
        <v>1</v>
      </c>
      <c r="S66" s="12"/>
      <c r="T66" s="22"/>
      <c r="U66" s="22"/>
      <c r="V66" s="14" t="s">
        <v>529</v>
      </c>
      <c r="W66" s="14" t="s">
        <v>530</v>
      </c>
      <c r="X66" s="209" t="s">
        <v>80</v>
      </c>
      <c r="Y66" s="209" t="s">
        <v>174</v>
      </c>
      <c r="Z66" s="28"/>
      <c r="AA66" s="28"/>
      <c r="AB66" s="28"/>
      <c r="AC66" s="28"/>
      <c r="AD66" s="30"/>
      <c r="AE66" s="31"/>
      <c r="AF66" s="31"/>
      <c r="AG66" s="32"/>
      <c r="AH66" s="33"/>
      <c r="AI66" s="33"/>
      <c r="AJ66" s="33"/>
      <c r="AK66" s="34"/>
      <c r="AL66" s="36"/>
      <c r="AM66" s="36"/>
      <c r="AN66" s="36"/>
      <c r="AO66" s="32"/>
      <c r="AP66" s="40">
        <v>97500</v>
      </c>
      <c r="AQ66" s="41" t="s">
        <v>233</v>
      </c>
      <c r="AR66" s="43">
        <f t="shared" ref="AR66:AR71" si="1">AP66-(N66+AE66+AF66)</f>
        <v>97500</v>
      </c>
      <c r="AS66" s="40"/>
      <c r="AT66" s="46"/>
    </row>
    <row r="67" ht="51" hidden="1" spans="1:46">
      <c r="A67" s="180" t="s">
        <v>531</v>
      </c>
      <c r="B67" s="4" t="s">
        <v>512</v>
      </c>
      <c r="C67" s="5" t="s">
        <v>483</v>
      </c>
      <c r="D67" s="190">
        <v>46150</v>
      </c>
      <c r="E67" s="3" t="s">
        <v>532</v>
      </c>
      <c r="F67" s="3"/>
      <c r="G67" s="3" t="s">
        <v>86</v>
      </c>
      <c r="H67" s="3" t="s">
        <v>533</v>
      </c>
      <c r="I67" s="198" t="s">
        <v>534</v>
      </c>
      <c r="J67" s="9" t="s">
        <v>535</v>
      </c>
      <c r="K67" s="10" t="s">
        <v>90</v>
      </c>
      <c r="L67" s="11">
        <v>3</v>
      </c>
      <c r="M67" s="11">
        <v>4.9</v>
      </c>
      <c r="N67" s="18">
        <v>27098</v>
      </c>
      <c r="O67" s="203"/>
      <c r="P67" s="18"/>
      <c r="Q67" s="10"/>
      <c r="R67" s="21">
        <v>1</v>
      </c>
      <c r="S67" s="12"/>
      <c r="T67" s="22"/>
      <c r="U67" s="22"/>
      <c r="V67" s="14" t="s">
        <v>536</v>
      </c>
      <c r="W67" s="14" t="s">
        <v>537</v>
      </c>
      <c r="X67" s="209" t="s">
        <v>373</v>
      </c>
      <c r="Y67" s="209" t="s">
        <v>538</v>
      </c>
      <c r="Z67" s="28"/>
      <c r="AA67" s="28"/>
      <c r="AB67" s="28"/>
      <c r="AC67" s="28"/>
      <c r="AD67" s="30"/>
      <c r="AE67" s="31"/>
      <c r="AF67" s="31"/>
      <c r="AG67" s="32"/>
      <c r="AH67" s="33"/>
      <c r="AI67" s="33"/>
      <c r="AJ67" s="33"/>
      <c r="AK67" s="34"/>
      <c r="AL67" s="36"/>
      <c r="AM67" s="36"/>
      <c r="AN67" s="36"/>
      <c r="AO67" s="32"/>
      <c r="AP67" s="40"/>
      <c r="AQ67" s="41"/>
      <c r="AR67" s="43"/>
      <c r="AS67" s="40"/>
      <c r="AT67" s="46"/>
    </row>
    <row r="68" ht="69" customHeight="1" spans="1:46">
      <c r="A68" s="180" t="s">
        <v>539</v>
      </c>
      <c r="B68" s="181" t="s">
        <v>389</v>
      </c>
      <c r="C68" s="5" t="s">
        <v>483</v>
      </c>
      <c r="D68" s="6" t="s">
        <v>540</v>
      </c>
      <c r="E68" s="3" t="s">
        <v>541</v>
      </c>
      <c r="F68" s="3" t="s">
        <v>119</v>
      </c>
      <c r="G68" s="3" t="s">
        <v>50</v>
      </c>
      <c r="H68" s="3" t="s">
        <v>542</v>
      </c>
      <c r="I68" s="319" t="s">
        <v>543</v>
      </c>
      <c r="J68" s="9" t="s">
        <v>544</v>
      </c>
      <c r="K68" s="10" t="s">
        <v>168</v>
      </c>
      <c r="L68" s="11">
        <v>3</v>
      </c>
      <c r="M68" s="11">
        <v>391.1</v>
      </c>
      <c r="N68" s="18"/>
      <c r="O68" s="203"/>
      <c r="P68" s="18"/>
      <c r="Q68" s="10"/>
      <c r="R68" s="21">
        <v>2</v>
      </c>
      <c r="S68" s="12"/>
      <c r="T68" s="22"/>
      <c r="U68" s="22"/>
      <c r="V68" s="14" t="s">
        <v>545</v>
      </c>
      <c r="W68" s="14" t="s">
        <v>546</v>
      </c>
      <c r="X68" s="25" t="s">
        <v>465</v>
      </c>
      <c r="Y68" s="25" t="s">
        <v>547</v>
      </c>
      <c r="Z68" s="28"/>
      <c r="AA68" s="28"/>
      <c r="AB68" s="28"/>
      <c r="AC68" s="28"/>
      <c r="AD68" s="30"/>
      <c r="AE68" s="31"/>
      <c r="AF68" s="31"/>
      <c r="AG68" s="32"/>
      <c r="AH68" s="33"/>
      <c r="AI68" s="33"/>
      <c r="AJ68" s="33"/>
      <c r="AK68" s="34"/>
      <c r="AL68" s="36"/>
      <c r="AM68" s="36"/>
      <c r="AN68" s="36"/>
      <c r="AO68" s="32"/>
      <c r="AP68" s="40">
        <v>309500</v>
      </c>
      <c r="AQ68" s="41" t="s">
        <v>548</v>
      </c>
      <c r="AR68" s="43">
        <f t="shared" si="1"/>
        <v>309500</v>
      </c>
      <c r="AS68" s="40"/>
      <c r="AT68" s="46"/>
    </row>
    <row r="69" ht="35" customHeight="1" spans="1:46">
      <c r="A69" s="180" t="s">
        <v>549</v>
      </c>
      <c r="B69" s="181" t="s">
        <v>389</v>
      </c>
      <c r="C69" s="5" t="s">
        <v>483</v>
      </c>
      <c r="D69" s="6">
        <v>46239</v>
      </c>
      <c r="E69" s="3" t="s">
        <v>118</v>
      </c>
      <c r="F69" s="3"/>
      <c r="G69" s="3" t="s">
        <v>50</v>
      </c>
      <c r="H69" s="3" t="s">
        <v>550</v>
      </c>
      <c r="I69" s="319" t="s">
        <v>551</v>
      </c>
      <c r="J69" s="9" t="s">
        <v>552</v>
      </c>
      <c r="K69" s="10" t="s">
        <v>553</v>
      </c>
      <c r="L69" s="11">
        <v>2</v>
      </c>
      <c r="M69" s="11">
        <v>214.5</v>
      </c>
      <c r="N69" s="18"/>
      <c r="O69" s="203"/>
      <c r="P69" s="18"/>
      <c r="Q69" s="10"/>
      <c r="R69" s="21"/>
      <c r="S69" s="12"/>
      <c r="T69" s="22"/>
      <c r="U69" s="22"/>
      <c r="V69" s="14" t="s">
        <v>554</v>
      </c>
      <c r="W69" s="14" t="s">
        <v>555</v>
      </c>
      <c r="X69" s="25" t="s">
        <v>68</v>
      </c>
      <c r="Y69" s="25" t="s">
        <v>223</v>
      </c>
      <c r="Z69" s="28"/>
      <c r="AA69" s="28"/>
      <c r="AB69" s="28"/>
      <c r="AC69" s="28"/>
      <c r="AD69" s="30"/>
      <c r="AE69" s="31"/>
      <c r="AF69" s="31"/>
      <c r="AG69" s="32"/>
      <c r="AH69" s="33"/>
      <c r="AI69" s="33"/>
      <c r="AJ69" s="33"/>
      <c r="AK69" s="34"/>
      <c r="AL69" s="36"/>
      <c r="AM69" s="36"/>
      <c r="AN69" s="36"/>
      <c r="AO69" s="32"/>
      <c r="AP69" s="40">
        <v>60000</v>
      </c>
      <c r="AQ69" s="41" t="s">
        <v>556</v>
      </c>
      <c r="AR69" s="43">
        <f t="shared" si="1"/>
        <v>60000</v>
      </c>
      <c r="AS69" s="40"/>
      <c r="AT69" s="46"/>
    </row>
    <row r="70" ht="108" customHeight="1" spans="1:46">
      <c r="A70" s="307" t="s">
        <v>557</v>
      </c>
      <c r="B70" s="181" t="s">
        <v>389</v>
      </c>
      <c r="C70" s="5" t="s">
        <v>483</v>
      </c>
      <c r="D70" s="6" t="s">
        <v>558</v>
      </c>
      <c r="E70" s="295" t="s">
        <v>559</v>
      </c>
      <c r="F70" s="3" t="s">
        <v>105</v>
      </c>
      <c r="G70" s="3" t="s">
        <v>50</v>
      </c>
      <c r="H70" s="3" t="s">
        <v>560</v>
      </c>
      <c r="I70" s="287">
        <v>717755497</v>
      </c>
      <c r="J70" s="312" t="s">
        <v>561</v>
      </c>
      <c r="K70" s="10" t="s">
        <v>72</v>
      </c>
      <c r="L70" s="11">
        <v>2</v>
      </c>
      <c r="M70" s="11">
        <v>365.8</v>
      </c>
      <c r="N70" s="313"/>
      <c r="O70" s="203"/>
      <c r="P70" s="18"/>
      <c r="Q70" s="10"/>
      <c r="R70" s="21">
        <v>3</v>
      </c>
      <c r="S70" s="12"/>
      <c r="T70" s="22"/>
      <c r="U70" s="22"/>
      <c r="V70" s="14"/>
      <c r="W70" s="14"/>
      <c r="X70" s="25" t="s">
        <v>562</v>
      </c>
      <c r="Y70" s="25" t="s">
        <v>406</v>
      </c>
      <c r="Z70" s="28"/>
      <c r="AA70" s="28"/>
      <c r="AB70" s="28"/>
      <c r="AC70" s="28"/>
      <c r="AD70" s="30"/>
      <c r="AE70" s="31"/>
      <c r="AF70" s="31"/>
      <c r="AG70" s="32"/>
      <c r="AH70" s="33"/>
      <c r="AI70" s="33"/>
      <c r="AJ70" s="33"/>
      <c r="AK70" s="34"/>
      <c r="AL70" s="36"/>
      <c r="AM70" s="36"/>
      <c r="AN70" s="36"/>
      <c r="AO70" s="32"/>
      <c r="AP70" s="40">
        <v>50000</v>
      </c>
      <c r="AQ70" s="41" t="s">
        <v>459</v>
      </c>
      <c r="AR70" s="43">
        <f t="shared" si="1"/>
        <v>50000</v>
      </c>
      <c r="AS70" s="40"/>
      <c r="AT70" s="46"/>
    </row>
    <row r="71" ht="108" customHeight="1" spans="1:46">
      <c r="A71" s="180" t="s">
        <v>563</v>
      </c>
      <c r="B71" s="181" t="s">
        <v>389</v>
      </c>
      <c r="C71" s="5" t="s">
        <v>564</v>
      </c>
      <c r="D71" s="6" t="s">
        <v>565</v>
      </c>
      <c r="E71" s="3" t="s">
        <v>566</v>
      </c>
      <c r="F71" s="3" t="s">
        <v>105</v>
      </c>
      <c r="G71" s="3" t="s">
        <v>50</v>
      </c>
      <c r="H71" s="3" t="s">
        <v>567</v>
      </c>
      <c r="I71" s="286">
        <v>775059591</v>
      </c>
      <c r="J71" s="9" t="s">
        <v>568</v>
      </c>
      <c r="K71" s="10" t="s">
        <v>569</v>
      </c>
      <c r="L71" s="11">
        <v>1</v>
      </c>
      <c r="M71" s="11">
        <v>172.2</v>
      </c>
      <c r="N71" s="18"/>
      <c r="O71" s="203"/>
      <c r="P71" s="18"/>
      <c r="Q71" s="10"/>
      <c r="R71" s="21">
        <v>2</v>
      </c>
      <c r="S71" s="12"/>
      <c r="T71" s="22"/>
      <c r="U71" s="22"/>
      <c r="V71" s="14" t="s">
        <v>570</v>
      </c>
      <c r="W71" s="14" t="s">
        <v>571</v>
      </c>
      <c r="X71" s="25" t="s">
        <v>68</v>
      </c>
      <c r="Y71" s="25" t="s">
        <v>69</v>
      </c>
      <c r="Z71" s="28"/>
      <c r="AA71" s="28"/>
      <c r="AB71" s="28"/>
      <c r="AC71" s="28"/>
      <c r="AD71" s="30"/>
      <c r="AE71" s="31"/>
      <c r="AF71" s="31"/>
      <c r="AG71" s="32"/>
      <c r="AH71" s="33"/>
      <c r="AI71" s="33"/>
      <c r="AJ71" s="33"/>
      <c r="AK71" s="34"/>
      <c r="AL71" s="36"/>
      <c r="AM71" s="36"/>
      <c r="AN71" s="36"/>
      <c r="AO71" s="32"/>
      <c r="AP71" s="40">
        <v>100000</v>
      </c>
      <c r="AQ71" s="41" t="s">
        <v>572</v>
      </c>
      <c r="AR71" s="43">
        <f t="shared" si="1"/>
        <v>100000</v>
      </c>
      <c r="AS71" s="40"/>
      <c r="AT71" s="46"/>
    </row>
    <row r="72" ht="108" customHeight="1" spans="1:46">
      <c r="A72" s="308" t="s">
        <v>573</v>
      </c>
      <c r="B72" s="181" t="s">
        <v>389</v>
      </c>
      <c r="C72" s="5" t="s">
        <v>564</v>
      </c>
      <c r="D72" s="6" t="s">
        <v>574</v>
      </c>
      <c r="E72" s="3" t="s">
        <v>541</v>
      </c>
      <c r="F72" s="3" t="s">
        <v>105</v>
      </c>
      <c r="G72" s="3" t="s">
        <v>50</v>
      </c>
      <c r="H72" s="3" t="s">
        <v>575</v>
      </c>
      <c r="I72" s="288">
        <v>777939612</v>
      </c>
      <c r="J72" s="9" t="s">
        <v>576</v>
      </c>
      <c r="K72" s="10" t="s">
        <v>577</v>
      </c>
      <c r="L72" s="11">
        <v>5</v>
      </c>
      <c r="M72" s="11">
        <v>138.6</v>
      </c>
      <c r="N72" s="296"/>
      <c r="O72" s="203"/>
      <c r="P72" s="18"/>
      <c r="Q72" s="10"/>
      <c r="R72" s="21">
        <v>3</v>
      </c>
      <c r="S72" s="12"/>
      <c r="T72" s="22"/>
      <c r="U72" s="22"/>
      <c r="V72" s="14"/>
      <c r="W72" s="14"/>
      <c r="X72" s="25" t="s">
        <v>68</v>
      </c>
      <c r="Y72" s="25" t="s">
        <v>223</v>
      </c>
      <c r="Z72" s="28"/>
      <c r="AA72" s="28"/>
      <c r="AB72" s="28"/>
      <c r="AC72" s="28"/>
      <c r="AD72" s="30"/>
      <c r="AE72" s="31"/>
      <c r="AF72" s="31"/>
      <c r="AG72" s="32"/>
      <c r="AH72" s="33"/>
      <c r="AI72" s="33"/>
      <c r="AJ72" s="33"/>
      <c r="AK72" s="34"/>
      <c r="AL72" s="36"/>
      <c r="AM72" s="36"/>
      <c r="AN72" s="36"/>
      <c r="AO72" s="32"/>
      <c r="AP72" s="40">
        <v>302208</v>
      </c>
      <c r="AQ72" s="41"/>
      <c r="AR72" s="43"/>
      <c r="AS72" s="40"/>
      <c r="AT72" s="46"/>
    </row>
    <row r="73" ht="108" customHeight="1" spans="1:46">
      <c r="A73" s="180" t="s">
        <v>578</v>
      </c>
      <c r="B73" s="181" t="s">
        <v>389</v>
      </c>
      <c r="C73" s="5" t="s">
        <v>579</v>
      </c>
      <c r="D73" s="6">
        <v>46242</v>
      </c>
      <c r="E73" s="3" t="s">
        <v>266</v>
      </c>
      <c r="F73" s="3" t="s">
        <v>119</v>
      </c>
      <c r="G73" s="3" t="s">
        <v>50</v>
      </c>
      <c r="H73" s="3" t="s">
        <v>580</v>
      </c>
      <c r="I73" s="3" t="s">
        <v>581</v>
      </c>
      <c r="J73" s="9" t="s">
        <v>582</v>
      </c>
      <c r="K73" s="10" t="s">
        <v>212</v>
      </c>
      <c r="L73" s="11">
        <v>1</v>
      </c>
      <c r="M73" s="11">
        <v>323.5</v>
      </c>
      <c r="N73" s="18"/>
      <c r="O73" s="203"/>
      <c r="P73" s="18"/>
      <c r="Q73" s="10" t="s">
        <v>583</v>
      </c>
      <c r="R73" s="21"/>
      <c r="S73" s="12"/>
      <c r="T73" s="22"/>
      <c r="U73" s="22"/>
      <c r="V73" s="14" t="s">
        <v>584</v>
      </c>
      <c r="W73" s="14" t="s">
        <v>585</v>
      </c>
      <c r="X73" s="25">
        <v>0.270833333333333</v>
      </c>
      <c r="Y73" s="25">
        <v>0.833333333333333</v>
      </c>
      <c r="Z73" s="28"/>
      <c r="AA73" s="28"/>
      <c r="AB73" s="28"/>
      <c r="AC73" s="28"/>
      <c r="AD73" s="30"/>
      <c r="AE73" s="31"/>
      <c r="AF73" s="31"/>
      <c r="AG73" s="32"/>
      <c r="AH73" s="33"/>
      <c r="AI73" s="33"/>
      <c r="AJ73" s="33"/>
      <c r="AK73" s="34"/>
      <c r="AL73" s="36"/>
      <c r="AM73" s="36"/>
      <c r="AN73" s="36"/>
      <c r="AO73" s="32"/>
      <c r="AP73" s="40">
        <v>25000</v>
      </c>
      <c r="AQ73" s="41"/>
      <c r="AR73" s="43">
        <f>AP73-(N73+AE73+AF73)</f>
        <v>25000</v>
      </c>
      <c r="AS73" s="40"/>
      <c r="AT73" s="46"/>
    </row>
    <row r="74" ht="39" customHeight="1" spans="1:46">
      <c r="A74" s="309" t="s">
        <v>586</v>
      </c>
      <c r="B74" s="309" t="s">
        <v>389</v>
      </c>
      <c r="C74" s="310" t="s">
        <v>587</v>
      </c>
      <c r="D74" s="309" t="s">
        <v>588</v>
      </c>
      <c r="E74" s="309" t="s">
        <v>589</v>
      </c>
      <c r="F74" s="311" t="s">
        <v>131</v>
      </c>
      <c r="G74" s="309" t="s">
        <v>50</v>
      </c>
      <c r="H74" s="309" t="s">
        <v>590</v>
      </c>
      <c r="I74" s="322" t="s">
        <v>591</v>
      </c>
      <c r="J74" s="311" t="s">
        <v>592</v>
      </c>
      <c r="K74" s="311" t="s">
        <v>259</v>
      </c>
      <c r="L74" s="309">
        <v>1</v>
      </c>
      <c r="M74" s="309">
        <v>543</v>
      </c>
      <c r="N74" s="314"/>
      <c r="O74" s="309"/>
      <c r="P74" s="309"/>
      <c r="Q74" s="309"/>
      <c r="R74" s="309">
        <v>2</v>
      </c>
      <c r="S74" s="309"/>
      <c r="T74" s="309"/>
      <c r="U74" s="309"/>
      <c r="V74" s="315" t="s">
        <v>593</v>
      </c>
      <c r="W74" s="309" t="s">
        <v>594</v>
      </c>
      <c r="X74" s="309" t="s">
        <v>595</v>
      </c>
      <c r="Y74" s="309" t="s">
        <v>69</v>
      </c>
      <c r="Z74" s="309"/>
      <c r="AA74" s="309"/>
      <c r="AB74" s="309"/>
      <c r="AC74" s="309"/>
      <c r="AD74" s="309"/>
      <c r="AE74" s="309"/>
      <c r="AF74" s="309"/>
      <c r="AG74" s="309"/>
      <c r="AH74" s="309"/>
      <c r="AI74" s="309"/>
      <c r="AJ74" s="309"/>
      <c r="AK74" s="309"/>
      <c r="AL74" s="309"/>
      <c r="AM74" s="309"/>
      <c r="AN74" s="309"/>
      <c r="AO74" s="309"/>
      <c r="AP74" s="309">
        <v>128447.5</v>
      </c>
      <c r="AQ74" s="309" t="s">
        <v>115</v>
      </c>
      <c r="AR74" s="309"/>
      <c r="AS74" s="309"/>
      <c r="AT74" s="309"/>
    </row>
    <row r="75" ht="32" customHeight="1"/>
  </sheetData>
  <autoFilter xmlns:etc="http://www.wps.cn/officeDocument/2017/etCustomData" ref="A2:AT74" etc:filterBottomFollowUsedRange="0">
    <filterColumn colId="2">
      <filters blank="1">
        <filter val="September"/>
        <filter val="August"/>
        <filter val="June"/>
        <filter val="May"/>
      </filters>
    </filterColumn>
    <filterColumn colId="6">
      <customFilters>
        <customFilter operator="equal" val=""/>
        <customFilter operator="equal" val="Outside"/>
      </customFilters>
    </filterColumn>
    <extLst/>
  </autoFilter>
  <mergeCells count="14">
    <mergeCell ref="A1:AT1"/>
    <mergeCell ref="AP16:AP17"/>
    <mergeCell ref="AP29:AP33"/>
    <mergeCell ref="AP59:AP61"/>
    <mergeCell ref="AQ16:AQ17"/>
    <mergeCell ref="AQ29:AQ33"/>
    <mergeCell ref="AQ59:AQ61"/>
    <mergeCell ref="AR16:AR17"/>
    <mergeCell ref="AR29:AR33"/>
    <mergeCell ref="AR59:AR61"/>
    <mergeCell ref="AS16:AS17"/>
    <mergeCell ref="AS29:AS33"/>
    <mergeCell ref="AT16:AT17"/>
    <mergeCell ref="AT29:AT33"/>
  </mergeCells>
  <conditionalFormatting sqref="B16">
    <cfRule type="containsText" dxfId="0" priority="41" operator="between" text="canceled">
      <formula>NOT(ISERROR(SEARCH("canceled",B16)))</formula>
    </cfRule>
    <cfRule type="containsText" dxfId="1" priority="42" operator="between" text="confirmed">
      <formula>NOT(ISERROR(SEARCH("confirmed",B16)))</formula>
    </cfRule>
    <cfRule type="containsText" dxfId="2" priority="43" operator="between" text="postponed">
      <formula>NOT(ISERROR(SEARCH("postponed",B16)))</formula>
    </cfRule>
    <cfRule type="containsText" dxfId="3" priority="44" operator="between" text="completed">
      <formula>NOT(ISERROR(SEARCH("completed",B16)))</formula>
    </cfRule>
  </conditionalFormatting>
  <conditionalFormatting sqref="B28">
    <cfRule type="containsText" dxfId="0" priority="17" operator="between" text="canceled">
      <formula>NOT(ISERROR(SEARCH("canceled",B28)))</formula>
    </cfRule>
    <cfRule type="containsText" dxfId="1" priority="18" operator="between" text="confirmed">
      <formula>NOT(ISERROR(SEARCH("confirmed",B28)))</formula>
    </cfRule>
    <cfRule type="containsText" dxfId="2" priority="19" operator="between" text="postponed">
      <formula>NOT(ISERROR(SEARCH("postponed",B28)))</formula>
    </cfRule>
    <cfRule type="containsText" dxfId="3" priority="20" operator="between" text="completed">
      <formula>NOT(ISERROR(SEARCH("completed",B28)))</formula>
    </cfRule>
  </conditionalFormatting>
  <conditionalFormatting sqref="B30">
    <cfRule type="containsText" dxfId="0" priority="33" operator="between" text="canceled">
      <formula>NOT(ISERROR(SEARCH("canceled",B30)))</formula>
    </cfRule>
    <cfRule type="containsText" dxfId="1" priority="34" operator="between" text="confirmed">
      <formula>NOT(ISERROR(SEARCH("confirmed",B30)))</formula>
    </cfRule>
    <cfRule type="containsText" dxfId="2" priority="35" operator="between" text="postponed">
      <formula>NOT(ISERROR(SEARCH("postponed",B30)))</formula>
    </cfRule>
    <cfRule type="containsText" dxfId="3" priority="36" operator="between" text="completed">
      <formula>NOT(ISERROR(SEARCH("completed",B30)))</formula>
    </cfRule>
  </conditionalFormatting>
  <conditionalFormatting sqref="B31">
    <cfRule type="containsText" dxfId="0" priority="29" operator="between" text="canceled">
      <formula>NOT(ISERROR(SEARCH("canceled",B31)))</formula>
    </cfRule>
    <cfRule type="containsText" dxfId="1" priority="30" operator="between" text="confirmed">
      <formula>NOT(ISERROR(SEARCH("confirmed",B31)))</formula>
    </cfRule>
    <cfRule type="containsText" dxfId="2" priority="31" operator="between" text="postponed">
      <formula>NOT(ISERROR(SEARCH("postponed",B31)))</formula>
    </cfRule>
    <cfRule type="containsText" dxfId="3" priority="32" operator="between" text="completed">
      <formula>NOT(ISERROR(SEARCH("completed",B31)))</formula>
    </cfRule>
  </conditionalFormatting>
  <conditionalFormatting sqref="B32">
    <cfRule type="containsText" dxfId="0" priority="25" operator="between" text="canceled">
      <formula>NOT(ISERROR(SEARCH("canceled",B32)))</formula>
    </cfRule>
    <cfRule type="containsText" dxfId="1" priority="26" operator="between" text="confirmed">
      <formula>NOT(ISERROR(SEARCH("confirmed",B32)))</formula>
    </cfRule>
    <cfRule type="containsText" dxfId="2" priority="27" operator="between" text="postponed">
      <formula>NOT(ISERROR(SEARCH("postponed",B32)))</formula>
    </cfRule>
    <cfRule type="containsText" dxfId="3" priority="28" operator="between" text="completed">
      <formula>NOT(ISERROR(SEARCH("completed",B32)))</formula>
    </cfRule>
  </conditionalFormatting>
  <conditionalFormatting sqref="B43">
    <cfRule type="containsText" dxfId="0" priority="1" operator="between" text="canceled">
      <formula>NOT(ISERROR(SEARCH("canceled",B43)))</formula>
    </cfRule>
    <cfRule type="containsText" dxfId="1" priority="2" operator="between" text="confirmed">
      <formula>NOT(ISERROR(SEARCH("confirmed",B43)))</formula>
    </cfRule>
    <cfRule type="containsText" dxfId="2" priority="3" operator="between" text="postponed">
      <formula>NOT(ISERROR(SEARCH("postponed",B43)))</formula>
    </cfRule>
    <cfRule type="containsText" dxfId="3" priority="4" operator="between" text="completed">
      <formula>NOT(ISERROR(SEARCH("completed",B43)))</formula>
    </cfRule>
  </conditionalFormatting>
  <conditionalFormatting sqref="B60">
    <cfRule type="containsText" dxfId="0" priority="13" operator="between" text="canceled">
      <formula>NOT(ISERROR(SEARCH("canceled",B60)))</formula>
    </cfRule>
    <cfRule type="containsText" dxfId="1" priority="14" operator="between" text="confirmed">
      <formula>NOT(ISERROR(SEARCH("confirmed",B60)))</formula>
    </cfRule>
    <cfRule type="containsText" dxfId="2" priority="15" operator="between" text="postponed">
      <formula>NOT(ISERROR(SEARCH("postponed",B60)))</formula>
    </cfRule>
    <cfRule type="containsText" dxfId="3" priority="16" operator="between" text="completed">
      <formula>NOT(ISERROR(SEARCH("completed",B60)))</formula>
    </cfRule>
  </conditionalFormatting>
  <conditionalFormatting sqref="B61">
    <cfRule type="containsText" dxfId="0" priority="9" operator="between" text="canceled">
      <formula>NOT(ISERROR(SEARCH("canceled",B61)))</formula>
    </cfRule>
    <cfRule type="containsText" dxfId="1" priority="10" operator="between" text="confirmed">
      <formula>NOT(ISERROR(SEARCH("confirmed",B61)))</formula>
    </cfRule>
    <cfRule type="containsText" dxfId="2" priority="11" operator="between" text="postponed">
      <formula>NOT(ISERROR(SEARCH("postponed",B61)))</formula>
    </cfRule>
    <cfRule type="containsText" dxfId="3" priority="12" operator="between" text="completed">
      <formula>NOT(ISERROR(SEARCH("completed",B61)))</formula>
    </cfRule>
  </conditionalFormatting>
  <conditionalFormatting sqref="B11:B15">
    <cfRule type="containsText" dxfId="0" priority="37" operator="between" text="canceled">
      <formula>NOT(ISERROR(SEARCH("canceled",B11)))</formula>
    </cfRule>
    <cfRule type="containsText" dxfId="1" priority="38" operator="between" text="confirmed">
      <formula>NOT(ISERROR(SEARCH("confirmed",B11)))</formula>
    </cfRule>
    <cfRule type="containsText" dxfId="2" priority="39" operator="between" text="postponed">
      <formula>NOT(ISERROR(SEARCH("postponed",B11)))</formula>
    </cfRule>
    <cfRule type="containsText" dxfId="3" priority="40" operator="between" text="completed">
      <formula>NOT(ISERROR(SEARCH("completed",B11)))</formula>
    </cfRule>
  </conditionalFormatting>
  <conditionalFormatting sqref="B33:B34">
    <cfRule type="containsText" dxfId="0" priority="21" operator="between" text="canceled">
      <formula>NOT(ISERROR(SEARCH("canceled",B33)))</formula>
    </cfRule>
    <cfRule type="containsText" dxfId="1" priority="22" operator="between" text="confirmed">
      <formula>NOT(ISERROR(SEARCH("confirmed",B33)))</formula>
    </cfRule>
    <cfRule type="containsText" dxfId="2" priority="23" operator="between" text="postponed">
      <formula>NOT(ISERROR(SEARCH("postponed",B33)))</formula>
    </cfRule>
    <cfRule type="containsText" dxfId="3" priority="24" operator="between" text="completed">
      <formula>NOT(ISERROR(SEARCH("completed",B33)))</formula>
    </cfRule>
  </conditionalFormatting>
  <conditionalFormatting sqref="B57:B58">
    <cfRule type="containsText" dxfId="0" priority="5" operator="between" text="canceled">
      <formula>NOT(ISERROR(SEARCH("canceled",B57)))</formula>
    </cfRule>
    <cfRule type="containsText" dxfId="1" priority="6" operator="between" text="confirmed">
      <formula>NOT(ISERROR(SEARCH("confirmed",B57)))</formula>
    </cfRule>
    <cfRule type="containsText" dxfId="2" priority="7" operator="between" text="postponed">
      <formula>NOT(ISERROR(SEARCH("postponed",B57)))</formula>
    </cfRule>
    <cfRule type="containsText" dxfId="3" priority="8" operator="between" text="completed">
      <formula>NOT(ISERROR(SEARCH("completed",B57)))</formula>
    </cfRule>
  </conditionalFormatting>
  <conditionalFormatting sqref="B3:B10 B17:B27 B29 B35:B42 B44:B56 B62:B75 B59">
    <cfRule type="containsText" dxfId="0" priority="45" operator="between" text="canceled">
      <formula>NOT(ISERROR(SEARCH("canceled",B3)))</formula>
    </cfRule>
    <cfRule type="containsText" dxfId="1" priority="46" operator="between" text="confirmed">
      <formula>NOT(ISERROR(SEARCH("confirmed",B3)))</formula>
    </cfRule>
    <cfRule type="containsText" dxfId="2" priority="47" operator="between" text="postponed">
      <formula>NOT(ISERROR(SEARCH("postponed",B3)))</formula>
    </cfRule>
    <cfRule type="containsText" dxfId="3" priority="48" operator="between" text="completed">
      <formula>NOT(ISERROR(SEARCH("completed",B3)))</formula>
    </cfRule>
  </conditionalFormatting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096"/>
  <sheetViews>
    <sheetView zoomScale="120" zoomScaleNormal="120" topLeftCell="L1" workbookViewId="0">
      <pane ySplit="3" topLeftCell="A98" activePane="bottomLeft" state="frozen"/>
      <selection/>
      <selection pane="bottomLeft" activeCell="S104" sqref="S104"/>
    </sheetView>
  </sheetViews>
  <sheetFormatPr defaultColWidth="14.4296875" defaultRowHeight="15" customHeight="1"/>
  <cols>
    <col min="1" max="1" width="6.8984375" customWidth="1"/>
    <col min="2" max="2" width="19.65625" customWidth="1"/>
    <col min="3" max="3" width="15.5703125" customWidth="1"/>
    <col min="4" max="4" width="10.671875" customWidth="1"/>
    <col min="5" max="5" width="19.140625" customWidth="1"/>
    <col min="6" max="6" width="22.2578125" customWidth="1"/>
    <col min="7" max="7" width="9.375" customWidth="1"/>
    <col min="8" max="8" width="19.5703125" customWidth="1"/>
    <col min="9" max="9" width="15.4921875" customWidth="1"/>
    <col min="10" max="10" width="36.140625" customWidth="1"/>
    <col min="11" max="11" width="10.140625" customWidth="1"/>
    <col min="12" max="12" width="6.765625" customWidth="1"/>
    <col min="13" max="13" width="9.890625" customWidth="1"/>
    <col min="14" max="14" width="15.1015625" customWidth="1"/>
    <col min="15" max="15" width="17.4453125" style="171" customWidth="1"/>
    <col min="16" max="16" width="17.4453125" customWidth="1"/>
    <col min="17" max="17" width="33.5703125" customWidth="1" outlineLevel="1"/>
    <col min="18" max="18" width="11.7109375" customWidth="1" outlineLevel="1"/>
    <col min="19" max="19" width="24.5703125" customWidth="1" outlineLevel="1"/>
    <col min="20" max="20" width="36" customWidth="1" outlineLevel="1"/>
    <col min="21" max="21" width="25" customWidth="1" outlineLevel="1"/>
    <col min="22" max="22" width="19.7109375" customWidth="1" outlineLevel="1"/>
    <col min="23" max="23" width="14.5703125" customWidth="1" outlineLevel="1"/>
    <col min="24" max="24" width="10.5703125" customWidth="1" outlineLevel="1"/>
    <col min="25" max="25" width="10.140625" customWidth="1" outlineLevel="1"/>
    <col min="26" max="33" width="16.859375" customWidth="1" outlineLevel="1"/>
    <col min="34" max="36" width="13.4296875" customWidth="1" outlineLevel="1"/>
    <col min="37" max="37" width="12" customWidth="1" outlineLevel="1"/>
    <col min="38" max="39" width="12.4296875" customWidth="1" outlineLevel="1"/>
    <col min="40" max="40" width="14.4296875" outlineLevel="1"/>
    <col min="41" max="41" width="11.859375" customWidth="1" outlineLevel="1"/>
    <col min="42" max="42" width="16.2890625" customWidth="1"/>
    <col min="44" max="44" width="13.2890625" customWidth="1"/>
    <col min="45" max="45" width="14.5703125" customWidth="1"/>
    <col min="46" max="46" width="30.859375" customWidth="1"/>
  </cols>
  <sheetData>
    <row r="1" ht="14.25" customHeight="1" spans="1:46">
      <c r="A1" s="172"/>
      <c r="B1" s="173"/>
      <c r="C1" s="174" t="s">
        <v>596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201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3"/>
    </row>
    <row r="2" ht="39.75" customHeight="1" spans="1:46">
      <c r="A2" s="176"/>
      <c r="B2" s="177"/>
      <c r="C2" s="178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202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226"/>
    </row>
    <row r="3" ht="51" spans="1:46">
      <c r="A3" s="1" t="s">
        <v>597</v>
      </c>
      <c r="B3" s="1" t="s">
        <v>1</v>
      </c>
      <c r="C3" s="1" t="s">
        <v>2</v>
      </c>
      <c r="D3" s="1" t="s">
        <v>3</v>
      </c>
      <c r="E3" s="2" t="s">
        <v>4</v>
      </c>
      <c r="F3" s="7" t="s">
        <v>5</v>
      </c>
      <c r="G3" s="7" t="s">
        <v>7</v>
      </c>
      <c r="H3" s="1" t="s">
        <v>8</v>
      </c>
      <c r="I3" s="2" t="s">
        <v>9</v>
      </c>
      <c r="J3" s="1" t="s">
        <v>10</v>
      </c>
      <c r="K3" s="1" t="s">
        <v>11</v>
      </c>
      <c r="L3" s="1" t="s">
        <v>12</v>
      </c>
      <c r="M3" s="2" t="s">
        <v>13</v>
      </c>
      <c r="N3" s="1" t="s">
        <v>14</v>
      </c>
      <c r="O3" s="15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2" t="s">
        <v>20</v>
      </c>
      <c r="U3" s="2" t="s">
        <v>21</v>
      </c>
      <c r="V3" s="1" t="s">
        <v>22</v>
      </c>
      <c r="W3" s="1" t="s">
        <v>23</v>
      </c>
      <c r="X3" s="1" t="s">
        <v>24</v>
      </c>
      <c r="Y3" s="23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29" t="s">
        <v>31</v>
      </c>
      <c r="AF3" s="29" t="s">
        <v>32</v>
      </c>
      <c r="AG3" s="29" t="s">
        <v>33</v>
      </c>
      <c r="AH3" s="29" t="s">
        <v>34</v>
      </c>
      <c r="AI3" s="29" t="s">
        <v>35</v>
      </c>
      <c r="AJ3" s="29" t="s">
        <v>36</v>
      </c>
      <c r="AK3" s="29" t="s">
        <v>37</v>
      </c>
      <c r="AL3" s="35" t="s">
        <v>38</v>
      </c>
      <c r="AM3" s="35" t="s">
        <v>39</v>
      </c>
      <c r="AN3" s="35" t="s">
        <v>40</v>
      </c>
      <c r="AO3" s="35" t="s">
        <v>41</v>
      </c>
      <c r="AP3" s="29" t="s">
        <v>42</v>
      </c>
      <c r="AQ3" s="1" t="s">
        <v>43</v>
      </c>
      <c r="AR3" s="29" t="s">
        <v>44</v>
      </c>
      <c r="AS3" s="1" t="s">
        <v>4</v>
      </c>
      <c r="AT3" s="7" t="s">
        <v>45</v>
      </c>
    </row>
    <row r="4" ht="34" spans="1:46">
      <c r="A4" s="11">
        <v>1</v>
      </c>
      <c r="B4" s="180" t="s">
        <v>598</v>
      </c>
      <c r="C4" s="181" t="s">
        <v>84</v>
      </c>
      <c r="D4" s="182" t="s">
        <v>599</v>
      </c>
      <c r="E4" s="6">
        <v>46025</v>
      </c>
      <c r="F4" s="180" t="s">
        <v>266</v>
      </c>
      <c r="G4" s="180" t="s">
        <v>50</v>
      </c>
      <c r="H4" s="180" t="s">
        <v>600</v>
      </c>
      <c r="I4" s="194">
        <v>777104205</v>
      </c>
      <c r="J4" s="195" t="s">
        <v>601</v>
      </c>
      <c r="K4" s="10" t="s">
        <v>122</v>
      </c>
      <c r="L4" s="11">
        <v>1</v>
      </c>
      <c r="M4" s="11">
        <v>63.8</v>
      </c>
      <c r="N4" s="18">
        <v>30872</v>
      </c>
      <c r="O4" s="203">
        <v>300944</v>
      </c>
      <c r="P4" s="18"/>
      <c r="Q4" s="10"/>
      <c r="R4" s="21">
        <v>1</v>
      </c>
      <c r="S4" s="12" t="s">
        <v>602</v>
      </c>
      <c r="T4" s="22" t="s">
        <v>603</v>
      </c>
      <c r="U4" s="22"/>
      <c r="V4" s="14"/>
      <c r="W4" s="14"/>
      <c r="X4" s="25">
        <v>0.208333333333333</v>
      </c>
      <c r="Y4" s="25"/>
      <c r="Z4" s="28"/>
      <c r="AA4" s="28"/>
      <c r="AB4" s="28"/>
      <c r="AC4" s="28"/>
      <c r="AD4" s="30"/>
      <c r="AE4" s="31"/>
      <c r="AF4" s="31"/>
      <c r="AG4" s="32"/>
      <c r="AH4" s="33"/>
      <c r="AI4" s="33"/>
      <c r="AJ4" s="33"/>
      <c r="AK4" s="34"/>
      <c r="AL4" s="36"/>
      <c r="AM4" s="36"/>
      <c r="AN4" s="36"/>
      <c r="AO4" s="32"/>
      <c r="AP4" s="40">
        <f>16000+15000</f>
        <v>31000</v>
      </c>
      <c r="AQ4" s="10" t="s">
        <v>604</v>
      </c>
      <c r="AR4" s="43">
        <f>AP4-(N4+AE4+AF4)</f>
        <v>128</v>
      </c>
      <c r="AS4" s="40"/>
      <c r="AT4" s="46"/>
    </row>
    <row r="5" ht="68" spans="1:46">
      <c r="A5" s="11">
        <v>2</v>
      </c>
      <c r="B5" s="180" t="s">
        <v>605</v>
      </c>
      <c r="C5" s="181" t="s">
        <v>84</v>
      </c>
      <c r="D5" s="182" t="s">
        <v>599</v>
      </c>
      <c r="E5" s="6">
        <v>46025</v>
      </c>
      <c r="F5" s="180" t="s">
        <v>266</v>
      </c>
      <c r="G5" s="180" t="s">
        <v>50</v>
      </c>
      <c r="H5" s="3" t="s">
        <v>606</v>
      </c>
      <c r="I5" s="194" t="s">
        <v>607</v>
      </c>
      <c r="J5" s="195" t="s">
        <v>608</v>
      </c>
      <c r="K5" s="10" t="s">
        <v>90</v>
      </c>
      <c r="L5" s="11">
        <v>1</v>
      </c>
      <c r="M5" s="11">
        <v>117.5</v>
      </c>
      <c r="N5" s="18">
        <v>36159</v>
      </c>
      <c r="O5" s="203">
        <v>300938</v>
      </c>
      <c r="P5" s="18"/>
      <c r="Q5" s="10" t="s">
        <v>609</v>
      </c>
      <c r="R5" s="21">
        <v>1</v>
      </c>
      <c r="S5" s="12" t="s">
        <v>610</v>
      </c>
      <c r="T5" s="22" t="s">
        <v>611</v>
      </c>
      <c r="U5" s="22"/>
      <c r="V5" s="14" t="s">
        <v>612</v>
      </c>
      <c r="W5" s="14" t="s">
        <v>613</v>
      </c>
      <c r="X5" s="25">
        <v>0.25</v>
      </c>
      <c r="Y5" s="25">
        <v>0.833333333333333</v>
      </c>
      <c r="Z5" s="28">
        <v>0</v>
      </c>
      <c r="AA5" s="27">
        <v>36659</v>
      </c>
      <c r="AB5" s="28"/>
      <c r="AC5" s="28"/>
      <c r="AD5" s="30"/>
      <c r="AE5" s="31"/>
      <c r="AF5" s="31"/>
      <c r="AG5" s="32"/>
      <c r="AH5" s="33"/>
      <c r="AI5" s="33"/>
      <c r="AJ5" s="33"/>
      <c r="AK5" s="34"/>
      <c r="AL5" s="36"/>
      <c r="AM5" s="36"/>
      <c r="AN5" s="36"/>
      <c r="AO5" s="32"/>
      <c r="AP5" s="40">
        <f>15000+21159</f>
        <v>36159</v>
      </c>
      <c r="AQ5" s="10" t="s">
        <v>614</v>
      </c>
      <c r="AR5" s="43">
        <f t="shared" ref="AR5:AR6" si="0">AP5-(AA5+AE5+AF5)</f>
        <v>-500</v>
      </c>
      <c r="AS5" s="40"/>
      <c r="AT5" s="46"/>
    </row>
    <row r="6" ht="34" spans="1:46">
      <c r="A6" s="11">
        <v>3</v>
      </c>
      <c r="B6" s="180" t="s">
        <v>615</v>
      </c>
      <c r="C6" s="181" t="s">
        <v>84</v>
      </c>
      <c r="D6" s="182" t="s">
        <v>599</v>
      </c>
      <c r="E6" s="10" t="s">
        <v>616</v>
      </c>
      <c r="F6" s="180" t="s">
        <v>266</v>
      </c>
      <c r="G6" s="180" t="s">
        <v>50</v>
      </c>
      <c r="H6" s="180" t="s">
        <v>617</v>
      </c>
      <c r="I6" s="194">
        <v>763632955</v>
      </c>
      <c r="J6" s="195" t="s">
        <v>618</v>
      </c>
      <c r="K6" s="10" t="s">
        <v>212</v>
      </c>
      <c r="L6" s="11">
        <v>1</v>
      </c>
      <c r="M6" s="11">
        <v>330.4</v>
      </c>
      <c r="N6" s="18">
        <v>178446</v>
      </c>
      <c r="O6" s="203">
        <v>300936</v>
      </c>
      <c r="P6" s="18"/>
      <c r="Q6" s="10" t="s">
        <v>619</v>
      </c>
      <c r="R6" s="21">
        <v>1</v>
      </c>
      <c r="S6" s="12" t="s">
        <v>620</v>
      </c>
      <c r="T6" s="22" t="s">
        <v>621</v>
      </c>
      <c r="U6" s="22"/>
      <c r="V6" s="14" t="s">
        <v>622</v>
      </c>
      <c r="W6" s="14" t="s">
        <v>623</v>
      </c>
      <c r="X6" s="25">
        <v>0.166666666666667</v>
      </c>
      <c r="Y6" s="209" t="s">
        <v>624</v>
      </c>
      <c r="Z6" s="28"/>
      <c r="AA6" s="34">
        <v>178446</v>
      </c>
      <c r="AB6" s="28"/>
      <c r="AC6" s="28"/>
      <c r="AD6" s="30">
        <v>330.4</v>
      </c>
      <c r="AE6" s="31">
        <v>0</v>
      </c>
      <c r="AF6" s="31">
        <v>0</v>
      </c>
      <c r="AG6" s="32"/>
      <c r="AH6" s="33"/>
      <c r="AI6" s="33"/>
      <c r="AJ6" s="33"/>
      <c r="AK6" s="34"/>
      <c r="AL6" s="36"/>
      <c r="AM6" s="36"/>
      <c r="AN6" s="36"/>
      <c r="AO6" s="32"/>
      <c r="AP6" s="40">
        <f>90000+88500</f>
        <v>178500</v>
      </c>
      <c r="AQ6" s="10" t="s">
        <v>625</v>
      </c>
      <c r="AR6" s="43">
        <f t="shared" si="0"/>
        <v>54</v>
      </c>
      <c r="AS6" s="40"/>
      <c r="AT6" s="46"/>
    </row>
    <row r="7" ht="50.25" customHeight="1" spans="1:46">
      <c r="A7" s="11">
        <v>4</v>
      </c>
      <c r="B7" s="180" t="s">
        <v>626</v>
      </c>
      <c r="C7" s="181" t="s">
        <v>84</v>
      </c>
      <c r="D7" s="182" t="s">
        <v>599</v>
      </c>
      <c r="E7" s="10" t="s">
        <v>627</v>
      </c>
      <c r="F7" s="180" t="s">
        <v>628</v>
      </c>
      <c r="G7" s="180" t="s">
        <v>50</v>
      </c>
      <c r="H7" s="180" t="s">
        <v>629</v>
      </c>
      <c r="I7" s="194" t="s">
        <v>630</v>
      </c>
      <c r="J7" s="195" t="s">
        <v>631</v>
      </c>
      <c r="K7" s="10" t="s">
        <v>212</v>
      </c>
      <c r="L7" s="11">
        <v>1</v>
      </c>
      <c r="M7" s="11">
        <v>200</v>
      </c>
      <c r="N7" s="18">
        <v>124482</v>
      </c>
      <c r="O7" s="203">
        <v>300939</v>
      </c>
      <c r="P7" s="18"/>
      <c r="Q7" s="10" t="s">
        <v>632</v>
      </c>
      <c r="R7" s="21">
        <v>2</v>
      </c>
      <c r="S7" s="12" t="s">
        <v>633</v>
      </c>
      <c r="T7" s="22" t="s">
        <v>634</v>
      </c>
      <c r="U7" s="22"/>
      <c r="V7" s="14" t="s">
        <v>635</v>
      </c>
      <c r="W7" s="14" t="s">
        <v>636</v>
      </c>
      <c r="X7" s="25">
        <v>0.375</v>
      </c>
      <c r="Y7" s="25">
        <v>0.791666666666667</v>
      </c>
      <c r="Z7" s="28"/>
      <c r="AA7" s="28"/>
      <c r="AB7" s="28"/>
      <c r="AC7" s="28"/>
      <c r="AD7" s="30"/>
      <c r="AE7" s="31"/>
      <c r="AF7" s="31"/>
      <c r="AG7" s="32"/>
      <c r="AH7" s="33"/>
      <c r="AI7" s="33"/>
      <c r="AJ7" s="33"/>
      <c r="AK7" s="34"/>
      <c r="AL7" s="36"/>
      <c r="AM7" s="36"/>
      <c r="AN7" s="36"/>
      <c r="AO7" s="32"/>
      <c r="AP7" s="40">
        <v>124500</v>
      </c>
      <c r="AQ7" s="41">
        <v>46043</v>
      </c>
      <c r="AR7" s="43">
        <f>AP7-(N7+AE7+AF7)</f>
        <v>18</v>
      </c>
      <c r="AS7" s="40"/>
      <c r="AT7" s="46"/>
    </row>
    <row r="8" ht="84" spans="1:46">
      <c r="A8" s="11">
        <v>5</v>
      </c>
      <c r="B8" s="180" t="s">
        <v>637</v>
      </c>
      <c r="C8" s="181" t="s">
        <v>84</v>
      </c>
      <c r="D8" s="182" t="s">
        <v>599</v>
      </c>
      <c r="E8" s="6">
        <v>46056</v>
      </c>
      <c r="F8" s="180" t="s">
        <v>638</v>
      </c>
      <c r="G8" s="180" t="s">
        <v>86</v>
      </c>
      <c r="H8" s="180" t="s">
        <v>639</v>
      </c>
      <c r="I8" s="194">
        <v>779207644</v>
      </c>
      <c r="J8" s="195" t="s">
        <v>640</v>
      </c>
      <c r="K8" s="10" t="s">
        <v>90</v>
      </c>
      <c r="L8" s="11">
        <v>1</v>
      </c>
      <c r="M8" s="11">
        <v>20.4</v>
      </c>
      <c r="N8" s="18">
        <v>23543</v>
      </c>
      <c r="O8" s="203"/>
      <c r="P8" s="18"/>
      <c r="Q8" s="10"/>
      <c r="R8" s="21">
        <v>1</v>
      </c>
      <c r="S8" s="12" t="s">
        <v>641</v>
      </c>
      <c r="T8" s="22" t="s">
        <v>611</v>
      </c>
      <c r="U8" s="22"/>
      <c r="V8" s="14" t="s">
        <v>642</v>
      </c>
      <c r="W8" s="14" t="s">
        <v>643</v>
      </c>
      <c r="X8" s="25">
        <v>0.333333333333333</v>
      </c>
      <c r="Y8" s="25">
        <v>0.479166666666667</v>
      </c>
      <c r="Z8" s="28"/>
      <c r="AA8" s="28"/>
      <c r="AB8" s="28"/>
      <c r="AC8" s="28"/>
      <c r="AD8" s="30"/>
      <c r="AE8" s="31"/>
      <c r="AF8" s="31"/>
      <c r="AG8" s="32"/>
      <c r="AH8" s="33"/>
      <c r="AI8" s="33"/>
      <c r="AJ8" s="33"/>
      <c r="AK8" s="34"/>
      <c r="AL8" s="36"/>
      <c r="AM8" s="36"/>
      <c r="AN8" s="36"/>
      <c r="AO8" s="32"/>
      <c r="AP8" s="40"/>
      <c r="AQ8" s="41"/>
      <c r="AR8" s="221"/>
      <c r="AS8" s="40"/>
      <c r="AT8" s="46"/>
    </row>
    <row r="9" ht="68" spans="1:46">
      <c r="A9" s="11">
        <v>5</v>
      </c>
      <c r="B9" s="180" t="s">
        <v>644</v>
      </c>
      <c r="C9" s="181" t="s">
        <v>84</v>
      </c>
      <c r="D9" s="182" t="s">
        <v>599</v>
      </c>
      <c r="E9" s="6">
        <v>46084</v>
      </c>
      <c r="F9" s="180" t="s">
        <v>645</v>
      </c>
      <c r="G9" s="180" t="s">
        <v>50</v>
      </c>
      <c r="H9" s="3" t="s">
        <v>646</v>
      </c>
      <c r="I9" s="194" t="s">
        <v>647</v>
      </c>
      <c r="J9" s="195" t="s">
        <v>648</v>
      </c>
      <c r="K9" s="10" t="s">
        <v>649</v>
      </c>
      <c r="L9" s="11">
        <v>3</v>
      </c>
      <c r="M9" s="11">
        <v>205.6</v>
      </c>
      <c r="N9" s="18">
        <v>300000</v>
      </c>
      <c r="O9" s="203">
        <v>300935</v>
      </c>
      <c r="P9" s="18"/>
      <c r="Q9" s="10"/>
      <c r="R9" s="21">
        <v>1</v>
      </c>
      <c r="S9" s="12" t="s">
        <v>650</v>
      </c>
      <c r="T9" s="14" t="s">
        <v>651</v>
      </c>
      <c r="U9" s="22"/>
      <c r="V9" s="14" t="s">
        <v>652</v>
      </c>
      <c r="W9" s="14" t="s">
        <v>653</v>
      </c>
      <c r="X9" s="25">
        <v>0.333333333333333</v>
      </c>
      <c r="Y9" s="25">
        <v>0.708333333333333</v>
      </c>
      <c r="Z9" s="28"/>
      <c r="AA9" s="28"/>
      <c r="AB9" s="28"/>
      <c r="AC9" s="28"/>
      <c r="AD9" s="30"/>
      <c r="AE9" s="31"/>
      <c r="AF9" s="31"/>
      <c r="AG9" s="32"/>
      <c r="AH9" s="33"/>
      <c r="AI9" s="33"/>
      <c r="AJ9" s="33"/>
      <c r="AK9" s="34"/>
      <c r="AL9" s="36"/>
      <c r="AM9" s="36"/>
      <c r="AN9" s="36"/>
      <c r="AO9" s="32"/>
      <c r="AP9" s="40">
        <v>150000</v>
      </c>
      <c r="AQ9" s="41">
        <v>46077</v>
      </c>
      <c r="AR9" s="43">
        <f>AP9-(N9+AE9+AF9)</f>
        <v>-150000</v>
      </c>
      <c r="AS9" s="40"/>
      <c r="AT9" s="227"/>
    </row>
    <row r="10" ht="51" spans="1:46">
      <c r="A10" s="11">
        <v>7</v>
      </c>
      <c r="B10" s="180" t="s">
        <v>654</v>
      </c>
      <c r="C10" s="181" t="s">
        <v>47</v>
      </c>
      <c r="D10" s="182" t="s">
        <v>599</v>
      </c>
      <c r="E10" s="6">
        <v>46084</v>
      </c>
      <c r="F10" s="180" t="s">
        <v>638</v>
      </c>
      <c r="G10" s="180" t="s">
        <v>86</v>
      </c>
      <c r="H10" s="180" t="s">
        <v>639</v>
      </c>
      <c r="I10" s="194">
        <v>779207644</v>
      </c>
      <c r="J10" s="195" t="s">
        <v>655</v>
      </c>
      <c r="K10" s="10" t="s">
        <v>90</v>
      </c>
      <c r="L10" s="11">
        <v>1</v>
      </c>
      <c r="M10" s="11">
        <v>20.4</v>
      </c>
      <c r="N10" s="18">
        <v>23543</v>
      </c>
      <c r="O10" s="203"/>
      <c r="P10" s="18"/>
      <c r="Q10" s="10"/>
      <c r="R10" s="21">
        <v>1</v>
      </c>
      <c r="S10" s="12" t="s">
        <v>641</v>
      </c>
      <c r="T10" s="22" t="s">
        <v>611</v>
      </c>
      <c r="U10" s="22"/>
      <c r="V10" s="14" t="s">
        <v>642</v>
      </c>
      <c r="W10" s="14" t="s">
        <v>643</v>
      </c>
      <c r="X10" s="25">
        <v>0.333333333333333</v>
      </c>
      <c r="Y10" s="25">
        <v>0.479166666666667</v>
      </c>
      <c r="Z10" s="28"/>
      <c r="AA10" s="28"/>
      <c r="AB10" s="28"/>
      <c r="AC10" s="28"/>
      <c r="AD10" s="30"/>
      <c r="AE10" s="31"/>
      <c r="AF10" s="31"/>
      <c r="AG10" s="32"/>
      <c r="AH10" s="33"/>
      <c r="AI10" s="33"/>
      <c r="AJ10" s="33"/>
      <c r="AK10" s="34"/>
      <c r="AL10" s="36"/>
      <c r="AM10" s="36"/>
      <c r="AN10" s="36"/>
      <c r="AO10" s="32"/>
      <c r="AP10" s="40"/>
      <c r="AQ10" s="41"/>
      <c r="AR10" s="221"/>
      <c r="AS10" s="40"/>
      <c r="AT10" s="46"/>
    </row>
    <row r="11" ht="51" spans="1:46">
      <c r="A11" s="11">
        <v>6</v>
      </c>
      <c r="B11" s="180" t="s">
        <v>656</v>
      </c>
      <c r="C11" s="181" t="s">
        <v>84</v>
      </c>
      <c r="D11" s="182" t="s">
        <v>599</v>
      </c>
      <c r="E11" s="6">
        <v>46084</v>
      </c>
      <c r="F11" s="180" t="s">
        <v>657</v>
      </c>
      <c r="G11" s="180" t="s">
        <v>86</v>
      </c>
      <c r="H11" s="180" t="s">
        <v>658</v>
      </c>
      <c r="I11" s="194" t="s">
        <v>659</v>
      </c>
      <c r="J11" s="195" t="s">
        <v>660</v>
      </c>
      <c r="K11" s="10" t="s">
        <v>90</v>
      </c>
      <c r="L11" s="11">
        <v>6</v>
      </c>
      <c r="M11" s="11">
        <v>294</v>
      </c>
      <c r="N11" s="18">
        <v>572369</v>
      </c>
      <c r="O11" s="203"/>
      <c r="P11" s="18"/>
      <c r="Q11" s="10" t="s">
        <v>661</v>
      </c>
      <c r="R11" s="21">
        <v>1</v>
      </c>
      <c r="S11" s="12"/>
      <c r="T11" s="22"/>
      <c r="U11" s="22"/>
      <c r="V11" s="14" t="s">
        <v>662</v>
      </c>
      <c r="W11" s="14" t="s">
        <v>663</v>
      </c>
      <c r="X11" s="25">
        <v>0.166666666666667</v>
      </c>
      <c r="Y11" s="25">
        <v>0.770833333333333</v>
      </c>
      <c r="Z11" s="28"/>
      <c r="AA11" s="28"/>
      <c r="AB11" s="28"/>
      <c r="AC11" s="28"/>
      <c r="AD11" s="30"/>
      <c r="AE11" s="31"/>
      <c r="AF11" s="31"/>
      <c r="AG11" s="32"/>
      <c r="AH11" s="33"/>
      <c r="AI11" s="33"/>
      <c r="AJ11" s="33"/>
      <c r="AK11" s="34"/>
      <c r="AL11" s="36"/>
      <c r="AM11" s="36"/>
      <c r="AN11" s="36"/>
      <c r="AO11" s="32"/>
      <c r="AP11" s="40"/>
      <c r="AQ11" s="41"/>
      <c r="AR11" s="221"/>
      <c r="AS11" s="40"/>
      <c r="AT11" s="45"/>
    </row>
    <row r="12" ht="68" spans="1:46">
      <c r="A12" s="11">
        <v>9</v>
      </c>
      <c r="B12" s="180" t="s">
        <v>664</v>
      </c>
      <c r="C12" s="181" t="s">
        <v>84</v>
      </c>
      <c r="D12" s="182" t="s">
        <v>599</v>
      </c>
      <c r="E12" s="6">
        <v>46084</v>
      </c>
      <c r="F12" s="180" t="s">
        <v>665</v>
      </c>
      <c r="G12" s="180" t="s">
        <v>86</v>
      </c>
      <c r="H12" s="180" t="s">
        <v>666</v>
      </c>
      <c r="I12" s="194">
        <v>758341756</v>
      </c>
      <c r="J12" s="195" t="s">
        <v>667</v>
      </c>
      <c r="K12" s="10" t="s">
        <v>90</v>
      </c>
      <c r="L12" s="11">
        <v>5</v>
      </c>
      <c r="M12" s="11">
        <v>61.8</v>
      </c>
      <c r="N12" s="18">
        <v>197145</v>
      </c>
      <c r="O12" s="203"/>
      <c r="P12" s="18"/>
      <c r="Q12" s="10" t="s">
        <v>668</v>
      </c>
      <c r="R12" s="21">
        <v>1</v>
      </c>
      <c r="S12" s="12"/>
      <c r="T12" s="22"/>
      <c r="U12" s="22"/>
      <c r="V12" s="14" t="s">
        <v>665</v>
      </c>
      <c r="W12" s="14" t="s">
        <v>669</v>
      </c>
      <c r="X12" s="25">
        <v>0.270833333333333</v>
      </c>
      <c r="Y12" s="25">
        <v>0.75</v>
      </c>
      <c r="Z12" s="28"/>
      <c r="AA12" s="28"/>
      <c r="AB12" s="28"/>
      <c r="AC12" s="28"/>
      <c r="AD12" s="30"/>
      <c r="AE12" s="31"/>
      <c r="AF12" s="31"/>
      <c r="AG12" s="32"/>
      <c r="AH12" s="33"/>
      <c r="AI12" s="33"/>
      <c r="AJ12" s="33"/>
      <c r="AK12" s="34"/>
      <c r="AL12" s="36"/>
      <c r="AM12" s="36"/>
      <c r="AN12" s="36"/>
      <c r="AO12" s="32"/>
      <c r="AP12" s="40"/>
      <c r="AQ12" s="41"/>
      <c r="AR12" s="221"/>
      <c r="AS12" s="40"/>
      <c r="AT12" s="45"/>
    </row>
    <row r="13" ht="34" spans="1:46">
      <c r="A13" s="11">
        <v>10</v>
      </c>
      <c r="B13" s="180" t="s">
        <v>670</v>
      </c>
      <c r="C13" s="181" t="s">
        <v>84</v>
      </c>
      <c r="D13" s="182" t="s">
        <v>599</v>
      </c>
      <c r="E13" s="6">
        <v>46084</v>
      </c>
      <c r="F13" s="180" t="s">
        <v>671</v>
      </c>
      <c r="G13" s="180" t="s">
        <v>86</v>
      </c>
      <c r="H13" s="188" t="s">
        <v>672</v>
      </c>
      <c r="I13" s="196" t="s">
        <v>673</v>
      </c>
      <c r="J13" s="195" t="s">
        <v>674</v>
      </c>
      <c r="K13" s="10" t="s">
        <v>90</v>
      </c>
      <c r="L13" s="11">
        <v>2</v>
      </c>
      <c r="M13" s="11">
        <v>8.7</v>
      </c>
      <c r="N13" s="18">
        <v>20130</v>
      </c>
      <c r="O13" s="203">
        <v>300943</v>
      </c>
      <c r="P13" s="18"/>
      <c r="Q13" s="10" t="s">
        <v>675</v>
      </c>
      <c r="R13" s="21">
        <v>1</v>
      </c>
      <c r="S13" s="12"/>
      <c r="T13" s="22"/>
      <c r="U13" s="22"/>
      <c r="V13" s="14" t="s">
        <v>671</v>
      </c>
      <c r="W13" s="14" t="s">
        <v>676</v>
      </c>
      <c r="X13" s="209" t="s">
        <v>677</v>
      </c>
      <c r="Y13" s="209" t="s">
        <v>678</v>
      </c>
      <c r="Z13" s="28"/>
      <c r="AA13" s="28"/>
      <c r="AB13" s="28"/>
      <c r="AC13" s="28"/>
      <c r="AD13" s="30"/>
      <c r="AE13" s="31"/>
      <c r="AF13" s="31"/>
      <c r="AG13" s="32"/>
      <c r="AH13" s="33"/>
      <c r="AI13" s="33"/>
      <c r="AJ13" s="33"/>
      <c r="AK13" s="34"/>
      <c r="AL13" s="36"/>
      <c r="AM13" s="36"/>
      <c r="AN13" s="36"/>
      <c r="AO13" s="32"/>
      <c r="AP13" s="40"/>
      <c r="AQ13" s="41"/>
      <c r="AR13" s="221"/>
      <c r="AS13" s="40"/>
      <c r="AT13" s="45"/>
    </row>
    <row r="14" ht="34" spans="1:46">
      <c r="A14" s="11">
        <v>7</v>
      </c>
      <c r="B14" s="180" t="s">
        <v>679</v>
      </c>
      <c r="C14" s="181" t="s">
        <v>84</v>
      </c>
      <c r="D14" s="182" t="s">
        <v>599</v>
      </c>
      <c r="E14" s="6">
        <v>46084</v>
      </c>
      <c r="F14" s="180" t="s">
        <v>144</v>
      </c>
      <c r="G14" s="180" t="s">
        <v>86</v>
      </c>
      <c r="H14" s="189" t="s">
        <v>680</v>
      </c>
      <c r="I14" s="197" t="s">
        <v>681</v>
      </c>
      <c r="J14" s="195" t="s">
        <v>682</v>
      </c>
      <c r="K14" s="10" t="s">
        <v>90</v>
      </c>
      <c r="L14" s="11">
        <v>2</v>
      </c>
      <c r="M14" s="11">
        <v>7.3</v>
      </c>
      <c r="N14" s="18">
        <v>21194</v>
      </c>
      <c r="O14" s="203">
        <v>300953</v>
      </c>
      <c r="P14" s="18"/>
      <c r="Q14" s="10" t="s">
        <v>683</v>
      </c>
      <c r="R14" s="21">
        <v>1</v>
      </c>
      <c r="S14" s="12"/>
      <c r="T14" s="22"/>
      <c r="U14" s="22"/>
      <c r="V14" s="14" t="s">
        <v>371</v>
      </c>
      <c r="W14" s="14" t="s">
        <v>684</v>
      </c>
      <c r="X14" s="209" t="s">
        <v>685</v>
      </c>
      <c r="Y14" s="209" t="s">
        <v>373</v>
      </c>
      <c r="Z14" s="28"/>
      <c r="AA14" s="28"/>
      <c r="AB14" s="28"/>
      <c r="AC14" s="28"/>
      <c r="AD14" s="30"/>
      <c r="AE14" s="31"/>
      <c r="AF14" s="31"/>
      <c r="AG14" s="32"/>
      <c r="AH14" s="33"/>
      <c r="AI14" s="33"/>
      <c r="AJ14" s="33"/>
      <c r="AK14" s="34"/>
      <c r="AL14" s="36"/>
      <c r="AM14" s="36"/>
      <c r="AN14" s="36"/>
      <c r="AO14" s="32"/>
      <c r="AP14" s="40"/>
      <c r="AQ14" s="41"/>
      <c r="AR14" s="221"/>
      <c r="AS14" s="40"/>
      <c r="AT14" s="45"/>
    </row>
    <row r="15" ht="34" spans="1:46">
      <c r="A15" s="11">
        <v>12</v>
      </c>
      <c r="B15" s="180" t="s">
        <v>686</v>
      </c>
      <c r="C15" s="181" t="s">
        <v>84</v>
      </c>
      <c r="D15" s="182" t="s">
        <v>599</v>
      </c>
      <c r="E15" s="6">
        <v>46084</v>
      </c>
      <c r="F15" s="180" t="s">
        <v>144</v>
      </c>
      <c r="G15" s="180" t="s">
        <v>86</v>
      </c>
      <c r="H15" s="189" t="s">
        <v>687</v>
      </c>
      <c r="I15" s="197" t="s">
        <v>688</v>
      </c>
      <c r="J15" s="195" t="s">
        <v>689</v>
      </c>
      <c r="K15" s="10" t="s">
        <v>90</v>
      </c>
      <c r="L15" s="11">
        <v>1</v>
      </c>
      <c r="M15" s="11">
        <v>7.6</v>
      </c>
      <c r="N15" s="18">
        <v>14500</v>
      </c>
      <c r="O15" s="203">
        <v>300977</v>
      </c>
      <c r="P15" s="18"/>
      <c r="Q15" s="10"/>
      <c r="R15" s="21">
        <v>1</v>
      </c>
      <c r="S15" s="12"/>
      <c r="T15" s="22"/>
      <c r="U15" s="22"/>
      <c r="V15" s="14" t="s">
        <v>371</v>
      </c>
      <c r="W15" s="14" t="s">
        <v>690</v>
      </c>
      <c r="X15" s="209" t="s">
        <v>691</v>
      </c>
      <c r="Y15" s="209" t="s">
        <v>692</v>
      </c>
      <c r="Z15" s="28"/>
      <c r="AA15" s="28"/>
      <c r="AB15" s="28"/>
      <c r="AC15" s="28"/>
      <c r="AD15" s="30"/>
      <c r="AE15" s="31"/>
      <c r="AF15" s="31"/>
      <c r="AG15" s="32"/>
      <c r="AH15" s="33"/>
      <c r="AI15" s="33"/>
      <c r="AJ15" s="33"/>
      <c r="AK15" s="34"/>
      <c r="AL15" s="36"/>
      <c r="AM15" s="36"/>
      <c r="AN15" s="36"/>
      <c r="AO15" s="32"/>
      <c r="AP15" s="40"/>
      <c r="AQ15" s="41"/>
      <c r="AR15" s="221"/>
      <c r="AS15" s="40"/>
      <c r="AT15" s="45"/>
    </row>
    <row r="16" ht="34" spans="1:46">
      <c r="A16" s="11">
        <v>8</v>
      </c>
      <c r="B16" s="180" t="s">
        <v>693</v>
      </c>
      <c r="C16" s="181" t="s">
        <v>84</v>
      </c>
      <c r="D16" s="182" t="s">
        <v>599</v>
      </c>
      <c r="E16" s="6">
        <v>46115</v>
      </c>
      <c r="F16" s="180" t="s">
        <v>665</v>
      </c>
      <c r="G16" s="180" t="s">
        <v>86</v>
      </c>
      <c r="H16" s="189" t="s">
        <v>694</v>
      </c>
      <c r="I16" s="197" t="s">
        <v>695</v>
      </c>
      <c r="J16" s="195" t="s">
        <v>696</v>
      </c>
      <c r="K16" s="10" t="s">
        <v>122</v>
      </c>
      <c r="L16" s="11">
        <v>1</v>
      </c>
      <c r="M16" s="11">
        <v>39.6</v>
      </c>
      <c r="N16" s="18">
        <v>23981</v>
      </c>
      <c r="O16" s="203"/>
      <c r="P16" s="18"/>
      <c r="Q16" s="10"/>
      <c r="R16" s="21">
        <v>1</v>
      </c>
      <c r="S16" s="12"/>
      <c r="T16" s="22"/>
      <c r="U16" s="22"/>
      <c r="V16" s="14" t="s">
        <v>697</v>
      </c>
      <c r="W16" s="14" t="s">
        <v>371</v>
      </c>
      <c r="X16" s="209" t="s">
        <v>698</v>
      </c>
      <c r="Y16" s="209" t="s">
        <v>699</v>
      </c>
      <c r="Z16" s="28"/>
      <c r="AA16" s="28"/>
      <c r="AB16" s="28"/>
      <c r="AC16" s="28"/>
      <c r="AD16" s="30"/>
      <c r="AE16" s="31"/>
      <c r="AF16" s="31"/>
      <c r="AG16" s="32"/>
      <c r="AH16" s="33"/>
      <c r="AI16" s="33"/>
      <c r="AJ16" s="33"/>
      <c r="AK16" s="34"/>
      <c r="AL16" s="36"/>
      <c r="AM16" s="36"/>
      <c r="AN16" s="36"/>
      <c r="AO16" s="32"/>
      <c r="AP16" s="40"/>
      <c r="AQ16" s="41"/>
      <c r="AR16" s="221"/>
      <c r="AS16" s="40"/>
      <c r="AT16" s="45"/>
    </row>
    <row r="17" ht="34" spans="1:46">
      <c r="A17" s="11">
        <v>14</v>
      </c>
      <c r="B17" s="180" t="s">
        <v>700</v>
      </c>
      <c r="C17" s="181" t="s">
        <v>84</v>
      </c>
      <c r="D17" s="182" t="s">
        <v>599</v>
      </c>
      <c r="E17" s="6">
        <v>46145</v>
      </c>
      <c r="F17" s="180" t="s">
        <v>701</v>
      </c>
      <c r="G17" s="180" t="s">
        <v>86</v>
      </c>
      <c r="H17" s="189" t="s">
        <v>702</v>
      </c>
      <c r="I17" s="197" t="s">
        <v>703</v>
      </c>
      <c r="J17" s="195" t="s">
        <v>704</v>
      </c>
      <c r="K17" s="10" t="s">
        <v>90</v>
      </c>
      <c r="L17" s="11">
        <v>2</v>
      </c>
      <c r="M17" s="11">
        <v>4.9</v>
      </c>
      <c r="N17" s="18">
        <v>18065</v>
      </c>
      <c r="O17" s="203"/>
      <c r="P17" s="18"/>
      <c r="Q17" s="10" t="s">
        <v>705</v>
      </c>
      <c r="R17" s="21">
        <v>1</v>
      </c>
      <c r="S17" s="12"/>
      <c r="T17" s="22"/>
      <c r="U17" s="22"/>
      <c r="V17" s="14" t="s">
        <v>536</v>
      </c>
      <c r="W17" s="14" t="s">
        <v>706</v>
      </c>
      <c r="X17" s="25">
        <v>0.354166666666667</v>
      </c>
      <c r="Y17" s="25">
        <v>0.479166666666667</v>
      </c>
      <c r="Z17" s="28"/>
      <c r="AA17" s="28"/>
      <c r="AB17" s="28"/>
      <c r="AC17" s="28"/>
      <c r="AD17" s="30"/>
      <c r="AE17" s="31"/>
      <c r="AF17" s="31"/>
      <c r="AG17" s="32"/>
      <c r="AH17" s="33"/>
      <c r="AI17" s="33"/>
      <c r="AJ17" s="33"/>
      <c r="AK17" s="34"/>
      <c r="AL17" s="36"/>
      <c r="AM17" s="36"/>
      <c r="AN17" s="36"/>
      <c r="AO17" s="32"/>
      <c r="AP17" s="40"/>
      <c r="AQ17" s="41"/>
      <c r="AR17" s="221"/>
      <c r="AS17" s="40"/>
      <c r="AT17" s="45"/>
    </row>
    <row r="18" ht="51" spans="1:46">
      <c r="A18" s="11">
        <v>9</v>
      </c>
      <c r="B18" s="180" t="s">
        <v>707</v>
      </c>
      <c r="C18" s="181" t="s">
        <v>84</v>
      </c>
      <c r="D18" s="182" t="s">
        <v>599</v>
      </c>
      <c r="E18" s="6">
        <v>46145</v>
      </c>
      <c r="F18" s="180" t="s">
        <v>708</v>
      </c>
      <c r="G18" s="180" t="s">
        <v>50</v>
      </c>
      <c r="H18" s="180" t="s">
        <v>709</v>
      </c>
      <c r="I18" s="194" t="s">
        <v>710</v>
      </c>
      <c r="J18" s="195" t="s">
        <v>711</v>
      </c>
      <c r="K18" s="10" t="s">
        <v>649</v>
      </c>
      <c r="L18" s="11">
        <v>1</v>
      </c>
      <c r="M18" s="11">
        <v>33.3</v>
      </c>
      <c r="N18" s="18">
        <v>75000</v>
      </c>
      <c r="O18" s="203">
        <v>300972</v>
      </c>
      <c r="P18" s="18"/>
      <c r="Q18" s="10"/>
      <c r="R18" s="21">
        <v>1</v>
      </c>
      <c r="S18" s="12" t="s">
        <v>712</v>
      </c>
      <c r="T18" s="22" t="s">
        <v>621</v>
      </c>
      <c r="U18" s="22"/>
      <c r="V18" s="14" t="s">
        <v>713</v>
      </c>
      <c r="W18" s="14" t="s">
        <v>714</v>
      </c>
      <c r="X18" s="25">
        <v>0.552083333333333</v>
      </c>
      <c r="Y18" s="25">
        <v>0.708333333333333</v>
      </c>
      <c r="Z18" s="28"/>
      <c r="AA18" s="28"/>
      <c r="AB18" s="28"/>
      <c r="AC18" s="28"/>
      <c r="AD18" s="30"/>
      <c r="AE18" s="31"/>
      <c r="AF18" s="31"/>
      <c r="AG18" s="32"/>
      <c r="AH18" s="33"/>
      <c r="AI18" s="33"/>
      <c r="AJ18" s="33"/>
      <c r="AK18" s="34"/>
      <c r="AL18" s="36"/>
      <c r="AM18" s="36"/>
      <c r="AN18" s="36"/>
      <c r="AO18" s="32"/>
      <c r="AP18" s="40">
        <v>75000</v>
      </c>
      <c r="AQ18" s="41">
        <v>46072</v>
      </c>
      <c r="AR18" s="43">
        <f>AP18-(N18+AE18+AF18)</f>
        <v>0</v>
      </c>
      <c r="AS18" s="40"/>
      <c r="AT18" s="45"/>
    </row>
    <row r="19" ht="34" spans="1:46">
      <c r="A19" s="11">
        <v>10</v>
      </c>
      <c r="B19" s="180" t="s">
        <v>715</v>
      </c>
      <c r="C19" s="181" t="s">
        <v>84</v>
      </c>
      <c r="D19" s="182" t="s">
        <v>599</v>
      </c>
      <c r="E19" s="6">
        <v>46145</v>
      </c>
      <c r="F19" s="180" t="s">
        <v>657</v>
      </c>
      <c r="G19" s="180" t="s">
        <v>86</v>
      </c>
      <c r="H19" s="180" t="s">
        <v>716</v>
      </c>
      <c r="I19" s="194">
        <v>761492338</v>
      </c>
      <c r="J19" s="195" t="s">
        <v>717</v>
      </c>
      <c r="K19" s="10" t="s">
        <v>90</v>
      </c>
      <c r="L19" s="11">
        <v>7</v>
      </c>
      <c r="M19" s="11">
        <v>26</v>
      </c>
      <c r="N19" s="18">
        <v>150647</v>
      </c>
      <c r="O19" s="203"/>
      <c r="P19" s="18"/>
      <c r="Q19" s="10" t="s">
        <v>718</v>
      </c>
      <c r="R19" s="21">
        <v>1</v>
      </c>
      <c r="S19" s="12"/>
      <c r="T19" s="22"/>
      <c r="U19" s="22"/>
      <c r="V19" s="14" t="s">
        <v>201</v>
      </c>
      <c r="W19" s="14" t="s">
        <v>719</v>
      </c>
      <c r="X19" s="25">
        <v>0.333333333333333</v>
      </c>
      <c r="Y19" s="25">
        <v>0.520833333333333</v>
      </c>
      <c r="Z19" s="28"/>
      <c r="AA19" s="28"/>
      <c r="AB19" s="28"/>
      <c r="AC19" s="28"/>
      <c r="AD19" s="30"/>
      <c r="AE19" s="31"/>
      <c r="AF19" s="31"/>
      <c r="AG19" s="32"/>
      <c r="AH19" s="33"/>
      <c r="AI19" s="33"/>
      <c r="AJ19" s="33"/>
      <c r="AK19" s="34"/>
      <c r="AL19" s="36"/>
      <c r="AM19" s="36"/>
      <c r="AN19" s="36"/>
      <c r="AO19" s="32"/>
      <c r="AP19" s="40"/>
      <c r="AQ19" s="41"/>
      <c r="AR19" s="43"/>
      <c r="AS19" s="40"/>
      <c r="AT19" s="45"/>
    </row>
    <row r="20" ht="34" spans="1:46">
      <c r="A20" s="11">
        <v>11</v>
      </c>
      <c r="B20" s="180" t="s">
        <v>720</v>
      </c>
      <c r="C20" s="181" t="s">
        <v>84</v>
      </c>
      <c r="D20" s="182" t="s">
        <v>599</v>
      </c>
      <c r="E20" s="6">
        <v>46145</v>
      </c>
      <c r="F20" s="180" t="s">
        <v>144</v>
      </c>
      <c r="G20" s="180" t="s">
        <v>86</v>
      </c>
      <c r="H20" s="180" t="s">
        <v>687</v>
      </c>
      <c r="I20" s="194" t="s">
        <v>688</v>
      </c>
      <c r="J20" s="195" t="s">
        <v>721</v>
      </c>
      <c r="K20" s="10" t="s">
        <v>90</v>
      </c>
      <c r="L20" s="11">
        <v>1</v>
      </c>
      <c r="M20" s="11">
        <v>7.3</v>
      </c>
      <c r="N20" s="18">
        <v>14531</v>
      </c>
      <c r="O20" s="203">
        <v>300978</v>
      </c>
      <c r="P20" s="18"/>
      <c r="Q20" s="10"/>
      <c r="R20" s="21">
        <v>1</v>
      </c>
      <c r="S20" s="12"/>
      <c r="T20" s="22" t="s">
        <v>722</v>
      </c>
      <c r="U20" s="22"/>
      <c r="V20" s="14" t="s">
        <v>371</v>
      </c>
      <c r="W20" s="14" t="s">
        <v>690</v>
      </c>
      <c r="X20" s="209" t="s">
        <v>691</v>
      </c>
      <c r="Y20" s="209" t="s">
        <v>692</v>
      </c>
      <c r="Z20" s="28"/>
      <c r="AA20" s="28"/>
      <c r="AB20" s="28"/>
      <c r="AC20" s="28"/>
      <c r="AD20" s="30"/>
      <c r="AE20" s="31"/>
      <c r="AF20" s="31"/>
      <c r="AG20" s="32"/>
      <c r="AH20" s="33"/>
      <c r="AI20" s="33"/>
      <c r="AJ20" s="33"/>
      <c r="AK20" s="34"/>
      <c r="AL20" s="36"/>
      <c r="AM20" s="36"/>
      <c r="AN20" s="36"/>
      <c r="AO20" s="32"/>
      <c r="AP20" s="40"/>
      <c r="AQ20" s="41"/>
      <c r="AR20" s="43"/>
      <c r="AS20" s="40"/>
      <c r="AT20" s="45"/>
    </row>
    <row r="21" ht="68" spans="1:46">
      <c r="A21" s="11">
        <v>12</v>
      </c>
      <c r="B21" s="180" t="s">
        <v>723</v>
      </c>
      <c r="C21" s="181" t="s">
        <v>84</v>
      </c>
      <c r="D21" s="183" t="s">
        <v>599</v>
      </c>
      <c r="E21" s="6">
        <v>46145</v>
      </c>
      <c r="F21" s="180" t="s">
        <v>85</v>
      </c>
      <c r="G21" s="180" t="s">
        <v>86</v>
      </c>
      <c r="H21" s="180" t="s">
        <v>724</v>
      </c>
      <c r="I21" s="194" t="s">
        <v>725</v>
      </c>
      <c r="J21" s="195" t="s">
        <v>726</v>
      </c>
      <c r="K21" s="10" t="s">
        <v>90</v>
      </c>
      <c r="L21" s="11">
        <v>5</v>
      </c>
      <c r="M21" s="11">
        <v>5.8</v>
      </c>
      <c r="N21" s="18">
        <v>56050</v>
      </c>
      <c r="O21" s="203"/>
      <c r="P21" s="18"/>
      <c r="Q21" s="10" t="s">
        <v>727</v>
      </c>
      <c r="R21" s="21">
        <v>1</v>
      </c>
      <c r="S21" s="12"/>
      <c r="T21" s="22"/>
      <c r="U21" s="22"/>
      <c r="V21" s="14" t="s">
        <v>728</v>
      </c>
      <c r="W21" s="14" t="s">
        <v>729</v>
      </c>
      <c r="X21" s="209" t="s">
        <v>685</v>
      </c>
      <c r="Y21" s="209" t="s">
        <v>698</v>
      </c>
      <c r="Z21" s="28"/>
      <c r="AA21" s="28"/>
      <c r="AB21" s="28"/>
      <c r="AC21" s="28"/>
      <c r="AD21" s="30"/>
      <c r="AE21" s="31"/>
      <c r="AF21" s="31"/>
      <c r="AG21" s="32"/>
      <c r="AH21" s="33"/>
      <c r="AI21" s="33"/>
      <c r="AJ21" s="33"/>
      <c r="AK21" s="34"/>
      <c r="AL21" s="36"/>
      <c r="AM21" s="36"/>
      <c r="AN21" s="36"/>
      <c r="AO21" s="32"/>
      <c r="AP21" s="40"/>
      <c r="AQ21" s="41"/>
      <c r="AR21" s="43"/>
      <c r="AS21" s="40"/>
      <c r="AT21" s="45"/>
    </row>
    <row r="22" ht="45" customHeight="1" spans="1:46">
      <c r="A22" s="11">
        <v>13</v>
      </c>
      <c r="B22" s="180" t="s">
        <v>730</v>
      </c>
      <c r="C22" s="181" t="s">
        <v>84</v>
      </c>
      <c r="D22" s="182" t="s">
        <v>599</v>
      </c>
      <c r="E22" s="6">
        <v>46176</v>
      </c>
      <c r="F22" s="180" t="s">
        <v>731</v>
      </c>
      <c r="G22" s="180" t="s">
        <v>50</v>
      </c>
      <c r="H22" s="180" t="s">
        <v>732</v>
      </c>
      <c r="I22" s="194" t="s">
        <v>733</v>
      </c>
      <c r="J22" s="195" t="s">
        <v>734</v>
      </c>
      <c r="K22" s="10" t="s">
        <v>90</v>
      </c>
      <c r="L22" s="11">
        <v>2</v>
      </c>
      <c r="M22" s="11">
        <v>70</v>
      </c>
      <c r="N22" s="18">
        <v>76557</v>
      </c>
      <c r="O22" s="203">
        <v>300945</v>
      </c>
      <c r="P22" s="18"/>
      <c r="Q22" s="10"/>
      <c r="R22" s="21">
        <v>1</v>
      </c>
      <c r="S22" s="12" t="s">
        <v>735</v>
      </c>
      <c r="T22" s="13" t="s">
        <v>736</v>
      </c>
      <c r="U22" s="13" t="s">
        <v>737</v>
      </c>
      <c r="V22" s="14" t="s">
        <v>738</v>
      </c>
      <c r="W22" s="14" t="s">
        <v>739</v>
      </c>
      <c r="X22" s="25">
        <v>0.25</v>
      </c>
      <c r="Y22" s="25">
        <v>0.770833333333333</v>
      </c>
      <c r="Z22" s="28"/>
      <c r="AA22" s="28"/>
      <c r="AB22" s="28"/>
      <c r="AC22" s="28"/>
      <c r="AD22" s="30"/>
      <c r="AE22" s="31"/>
      <c r="AF22" s="31"/>
      <c r="AG22" s="32"/>
      <c r="AH22" s="33"/>
      <c r="AI22" s="33"/>
      <c r="AJ22" s="33"/>
      <c r="AK22" s="34"/>
      <c r="AL22" s="36"/>
      <c r="AM22" s="36"/>
      <c r="AN22" s="36"/>
      <c r="AO22" s="32"/>
      <c r="AP22" s="40">
        <v>40000</v>
      </c>
      <c r="AQ22" s="41">
        <v>46078</v>
      </c>
      <c r="AR22" s="43">
        <f>AP22-(N22+AE22+AF22)</f>
        <v>-36557</v>
      </c>
      <c r="AS22" s="228">
        <v>46087</v>
      </c>
      <c r="AT22" s="45" t="s">
        <v>116</v>
      </c>
    </row>
    <row r="23" ht="84" spans="1:46">
      <c r="A23" s="11">
        <v>14</v>
      </c>
      <c r="B23" s="180" t="s">
        <v>740</v>
      </c>
      <c r="C23" s="181" t="s">
        <v>84</v>
      </c>
      <c r="D23" s="182" t="s">
        <v>599</v>
      </c>
      <c r="E23" s="6">
        <v>46176</v>
      </c>
      <c r="F23" s="180" t="s">
        <v>741</v>
      </c>
      <c r="G23" s="180" t="s">
        <v>86</v>
      </c>
      <c r="H23" s="180" t="s">
        <v>742</v>
      </c>
      <c r="I23" s="194">
        <v>719327461</v>
      </c>
      <c r="J23" s="195" t="s">
        <v>743</v>
      </c>
      <c r="K23" s="10" t="s">
        <v>90</v>
      </c>
      <c r="L23" s="11">
        <v>3</v>
      </c>
      <c r="M23" s="11">
        <v>291</v>
      </c>
      <c r="N23" s="18">
        <v>190530</v>
      </c>
      <c r="O23" s="204" t="s">
        <v>744</v>
      </c>
      <c r="P23" s="18"/>
      <c r="Q23" s="10" t="s">
        <v>745</v>
      </c>
      <c r="R23" s="21">
        <v>1</v>
      </c>
      <c r="S23" s="12"/>
      <c r="T23" s="22"/>
      <c r="U23" s="22"/>
      <c r="V23" s="14" t="s">
        <v>536</v>
      </c>
      <c r="W23" s="14" t="s">
        <v>746</v>
      </c>
      <c r="X23" s="25">
        <v>0.208333333333333</v>
      </c>
      <c r="Y23" s="25">
        <v>0.833333333333333</v>
      </c>
      <c r="Z23" s="28"/>
      <c r="AA23" s="28"/>
      <c r="AB23" s="28"/>
      <c r="AC23" s="28"/>
      <c r="AD23" s="30"/>
      <c r="AE23" s="31"/>
      <c r="AF23" s="31"/>
      <c r="AG23" s="32"/>
      <c r="AH23" s="33"/>
      <c r="AI23" s="33"/>
      <c r="AJ23" s="33"/>
      <c r="AK23" s="34"/>
      <c r="AL23" s="36"/>
      <c r="AM23" s="36"/>
      <c r="AN23" s="36"/>
      <c r="AO23" s="32"/>
      <c r="AP23" s="40"/>
      <c r="AQ23" s="41"/>
      <c r="AR23" s="221"/>
      <c r="AS23" s="40"/>
      <c r="AT23" s="46"/>
    </row>
    <row r="24" ht="51" spans="1:46">
      <c r="A24" s="11">
        <v>15</v>
      </c>
      <c r="B24" s="180" t="s">
        <v>747</v>
      </c>
      <c r="C24" s="181" t="s">
        <v>84</v>
      </c>
      <c r="D24" s="182" t="s">
        <v>599</v>
      </c>
      <c r="E24" s="6">
        <v>46176</v>
      </c>
      <c r="F24" s="180" t="s">
        <v>665</v>
      </c>
      <c r="G24" s="180" t="s">
        <v>86</v>
      </c>
      <c r="H24" s="180" t="s">
        <v>748</v>
      </c>
      <c r="I24" s="194" t="s">
        <v>749</v>
      </c>
      <c r="J24" s="195" t="s">
        <v>750</v>
      </c>
      <c r="K24" s="10" t="s">
        <v>90</v>
      </c>
      <c r="L24" s="11">
        <v>4</v>
      </c>
      <c r="M24" s="11">
        <v>224.8</v>
      </c>
      <c r="N24" s="18">
        <v>271345</v>
      </c>
      <c r="O24" s="203"/>
      <c r="P24" s="18"/>
      <c r="Q24" s="10" t="s">
        <v>751</v>
      </c>
      <c r="R24" s="21">
        <v>1</v>
      </c>
      <c r="S24" s="12"/>
      <c r="T24" s="22"/>
      <c r="U24" s="22"/>
      <c r="V24" s="14" t="s">
        <v>752</v>
      </c>
      <c r="W24" s="14" t="s">
        <v>753</v>
      </c>
      <c r="X24" s="25">
        <v>0.25</v>
      </c>
      <c r="Y24" s="25">
        <v>0.8125</v>
      </c>
      <c r="Z24" s="28"/>
      <c r="AA24" s="28"/>
      <c r="AB24" s="28"/>
      <c r="AC24" s="28"/>
      <c r="AD24" s="30"/>
      <c r="AE24" s="31"/>
      <c r="AF24" s="31"/>
      <c r="AG24" s="32"/>
      <c r="AH24" s="33"/>
      <c r="AI24" s="33"/>
      <c r="AJ24" s="33"/>
      <c r="AK24" s="34"/>
      <c r="AL24" s="36"/>
      <c r="AM24" s="36"/>
      <c r="AN24" s="36"/>
      <c r="AO24" s="32"/>
      <c r="AP24" s="40"/>
      <c r="AQ24" s="41"/>
      <c r="AR24" s="221"/>
      <c r="AS24" s="40"/>
      <c r="AT24" s="45"/>
    </row>
    <row r="25" s="78" customFormat="1" ht="34" customHeight="1" spans="1:46">
      <c r="A25" s="11">
        <v>22</v>
      </c>
      <c r="B25" s="180" t="s">
        <v>754</v>
      </c>
      <c r="C25" s="52" t="s">
        <v>60</v>
      </c>
      <c r="D25" s="182" t="s">
        <v>599</v>
      </c>
      <c r="E25" s="6">
        <v>46206</v>
      </c>
      <c r="F25" s="180" t="s">
        <v>266</v>
      </c>
      <c r="G25" s="180" t="s">
        <v>50</v>
      </c>
      <c r="H25" s="180" t="s">
        <v>755</v>
      </c>
      <c r="I25" s="194" t="s">
        <v>756</v>
      </c>
      <c r="J25" s="195" t="s">
        <v>757</v>
      </c>
      <c r="K25" s="10" t="s">
        <v>212</v>
      </c>
      <c r="L25" s="11">
        <v>2</v>
      </c>
      <c r="M25" s="11">
        <v>450.4</v>
      </c>
      <c r="N25" s="18">
        <v>389837</v>
      </c>
      <c r="O25" s="203"/>
      <c r="P25" s="18"/>
      <c r="Q25" s="10" t="s">
        <v>758</v>
      </c>
      <c r="R25" s="21">
        <v>2</v>
      </c>
      <c r="S25" s="12"/>
      <c r="T25" s="22"/>
      <c r="U25" s="22"/>
      <c r="V25" s="14" t="s">
        <v>759</v>
      </c>
      <c r="W25" s="14" t="s">
        <v>760</v>
      </c>
      <c r="X25" s="25">
        <v>0.1875</v>
      </c>
      <c r="Y25" s="25">
        <v>0.833333333333333</v>
      </c>
      <c r="Z25" s="28"/>
      <c r="AA25" s="28"/>
      <c r="AB25" s="28"/>
      <c r="AC25" s="28"/>
      <c r="AD25" s="30"/>
      <c r="AE25" s="31"/>
      <c r="AF25" s="31"/>
      <c r="AG25" s="32"/>
      <c r="AH25" s="33"/>
      <c r="AI25" s="33"/>
      <c r="AJ25" s="33"/>
      <c r="AK25" s="34"/>
      <c r="AL25" s="36"/>
      <c r="AM25" s="36"/>
      <c r="AN25" s="36"/>
      <c r="AO25" s="32"/>
      <c r="AP25" s="40"/>
      <c r="AQ25" s="41"/>
      <c r="AR25" s="222">
        <f>AP25-(N25+AE25+AF25)</f>
        <v>-389837</v>
      </c>
      <c r="AS25" s="40"/>
      <c r="AT25" s="45"/>
    </row>
    <row r="26" ht="51" spans="1:46">
      <c r="A26" s="11">
        <v>16</v>
      </c>
      <c r="B26" s="3" t="s">
        <v>761</v>
      </c>
      <c r="C26" s="184" t="s">
        <v>84</v>
      </c>
      <c r="D26" s="182" t="s">
        <v>599</v>
      </c>
      <c r="E26" s="53">
        <v>46206</v>
      </c>
      <c r="F26" s="3" t="s">
        <v>762</v>
      </c>
      <c r="G26" s="3" t="s">
        <v>50</v>
      </c>
      <c r="H26" s="3" t="s">
        <v>763</v>
      </c>
      <c r="I26" s="198">
        <v>710742047</v>
      </c>
      <c r="J26" s="9" t="s">
        <v>764</v>
      </c>
      <c r="K26" s="57" t="s">
        <v>122</v>
      </c>
      <c r="L26" s="11">
        <v>2</v>
      </c>
      <c r="M26" s="11">
        <v>100</v>
      </c>
      <c r="N26" s="18">
        <v>63418</v>
      </c>
      <c r="O26" s="203"/>
      <c r="P26" s="18"/>
      <c r="Q26" s="57"/>
      <c r="R26" s="11">
        <v>1</v>
      </c>
      <c r="S26" s="205" t="s">
        <v>765</v>
      </c>
      <c r="T26" s="206" t="s">
        <v>766</v>
      </c>
      <c r="U26" s="208"/>
      <c r="V26" s="205" t="s">
        <v>767</v>
      </c>
      <c r="W26" s="205" t="s">
        <v>768</v>
      </c>
      <c r="X26" s="210" t="s">
        <v>769</v>
      </c>
      <c r="Y26" s="210" t="s">
        <v>223</v>
      </c>
      <c r="Z26" s="215"/>
      <c r="AA26" s="215"/>
      <c r="AB26" s="215"/>
      <c r="AC26" s="215"/>
      <c r="AD26" s="216"/>
      <c r="AE26" s="217"/>
      <c r="AF26" s="217"/>
      <c r="AG26" s="218"/>
      <c r="AH26" s="219"/>
      <c r="AI26" s="219"/>
      <c r="AJ26" s="219"/>
      <c r="AK26" s="220"/>
      <c r="AL26" s="5"/>
      <c r="AM26" s="5"/>
      <c r="AN26" s="5"/>
      <c r="AO26" s="218"/>
      <c r="AP26" s="223">
        <v>30000</v>
      </c>
      <c r="AQ26" s="224">
        <v>46080</v>
      </c>
      <c r="AR26" s="225">
        <f t="shared" ref="AR26:AR28" si="1">AP26-(N26+AE26+AF26)</f>
        <v>-33418</v>
      </c>
      <c r="AS26" s="229">
        <v>46087</v>
      </c>
      <c r="AT26" s="230"/>
    </row>
    <row r="27" ht="51" spans="1:46">
      <c r="A27" s="11">
        <v>17</v>
      </c>
      <c r="B27" s="3" t="s">
        <v>770</v>
      </c>
      <c r="C27" s="184" t="s">
        <v>84</v>
      </c>
      <c r="D27" s="182" t="s">
        <v>599</v>
      </c>
      <c r="E27" s="53">
        <v>46206</v>
      </c>
      <c r="F27" s="3" t="s">
        <v>771</v>
      </c>
      <c r="G27" s="3" t="s">
        <v>50</v>
      </c>
      <c r="H27" s="3" t="s">
        <v>772</v>
      </c>
      <c r="I27" s="198">
        <v>718674225</v>
      </c>
      <c r="J27" s="9" t="s">
        <v>773</v>
      </c>
      <c r="K27" s="57" t="s">
        <v>212</v>
      </c>
      <c r="L27" s="11">
        <v>1</v>
      </c>
      <c r="M27" s="11">
        <v>79.5</v>
      </c>
      <c r="N27" s="18">
        <v>100000</v>
      </c>
      <c r="O27" s="203"/>
      <c r="P27" s="18"/>
      <c r="Q27" s="57" t="s">
        <v>774</v>
      </c>
      <c r="R27" s="11">
        <v>1</v>
      </c>
      <c r="S27" s="207" t="s">
        <v>775</v>
      </c>
      <c r="T27" s="208" t="s">
        <v>776</v>
      </c>
      <c r="U27" s="208"/>
      <c r="V27" s="205" t="s">
        <v>777</v>
      </c>
      <c r="W27" s="205" t="s">
        <v>778</v>
      </c>
      <c r="X27" s="211">
        <v>0.291666666666667</v>
      </c>
      <c r="Y27" s="211">
        <v>0.791666666666667</v>
      </c>
      <c r="Z27" s="215"/>
      <c r="AA27" s="215"/>
      <c r="AB27" s="215"/>
      <c r="AC27" s="215"/>
      <c r="AD27" s="216"/>
      <c r="AE27" s="217"/>
      <c r="AF27" s="217"/>
      <c r="AG27" s="218"/>
      <c r="AH27" s="219"/>
      <c r="AI27" s="219"/>
      <c r="AJ27" s="219"/>
      <c r="AK27" s="220"/>
      <c r="AL27" s="5"/>
      <c r="AM27" s="5"/>
      <c r="AN27" s="5"/>
      <c r="AO27" s="218"/>
      <c r="AP27" s="223">
        <v>100000</v>
      </c>
      <c r="AQ27" s="224">
        <v>46085</v>
      </c>
      <c r="AR27" s="225">
        <f t="shared" si="1"/>
        <v>0</v>
      </c>
      <c r="AS27" s="223"/>
      <c r="AT27" s="230"/>
    </row>
    <row r="28" ht="84" spans="1:46">
      <c r="A28" s="11">
        <v>18</v>
      </c>
      <c r="B28" s="3" t="s">
        <v>779</v>
      </c>
      <c r="C28" s="184" t="s">
        <v>84</v>
      </c>
      <c r="D28" s="182" t="s">
        <v>599</v>
      </c>
      <c r="E28" s="53">
        <v>46206</v>
      </c>
      <c r="F28" s="3" t="s">
        <v>780</v>
      </c>
      <c r="G28" s="3" t="s">
        <v>50</v>
      </c>
      <c r="H28" s="3" t="s">
        <v>781</v>
      </c>
      <c r="I28" s="198" t="s">
        <v>782</v>
      </c>
      <c r="J28" s="9" t="s">
        <v>783</v>
      </c>
      <c r="K28" s="57" t="s">
        <v>649</v>
      </c>
      <c r="L28" s="11">
        <v>1</v>
      </c>
      <c r="M28" s="11">
        <v>300</v>
      </c>
      <c r="N28" s="18">
        <v>130118</v>
      </c>
      <c r="O28" s="203"/>
      <c r="P28" s="18"/>
      <c r="Q28" s="57"/>
      <c r="R28" s="11">
        <v>1</v>
      </c>
      <c r="S28" s="207" t="s">
        <v>784</v>
      </c>
      <c r="T28" s="208" t="s">
        <v>785</v>
      </c>
      <c r="U28" s="208" t="s">
        <v>112</v>
      </c>
      <c r="V28" s="205" t="s">
        <v>786</v>
      </c>
      <c r="W28" s="205" t="s">
        <v>787</v>
      </c>
      <c r="X28" s="211">
        <v>0.208333333333333</v>
      </c>
      <c r="Y28" s="211">
        <v>0.958333333333333</v>
      </c>
      <c r="Z28" s="215"/>
      <c r="AA28" s="215"/>
      <c r="AB28" s="215"/>
      <c r="AC28" s="215"/>
      <c r="AD28" s="216"/>
      <c r="AE28" s="217"/>
      <c r="AF28" s="217"/>
      <c r="AG28" s="218"/>
      <c r="AH28" s="219"/>
      <c r="AI28" s="219"/>
      <c r="AJ28" s="219"/>
      <c r="AK28" s="220"/>
      <c r="AL28" s="5"/>
      <c r="AM28" s="5"/>
      <c r="AN28" s="5"/>
      <c r="AO28" s="218"/>
      <c r="AP28" s="223">
        <v>65000</v>
      </c>
      <c r="AQ28" s="224" t="s">
        <v>788</v>
      </c>
      <c r="AR28" s="225">
        <f t="shared" si="1"/>
        <v>-65118</v>
      </c>
      <c r="AS28" s="229">
        <v>46087</v>
      </c>
      <c r="AT28" s="230" t="s">
        <v>789</v>
      </c>
    </row>
    <row r="29" ht="51" spans="1:46">
      <c r="A29" s="11">
        <v>27</v>
      </c>
      <c r="B29" s="180" t="s">
        <v>790</v>
      </c>
      <c r="C29" s="185" t="s">
        <v>84</v>
      </c>
      <c r="D29" s="182" t="s">
        <v>599</v>
      </c>
      <c r="E29" s="57" t="s">
        <v>791</v>
      </c>
      <c r="F29" s="180" t="s">
        <v>532</v>
      </c>
      <c r="G29" s="180" t="s">
        <v>86</v>
      </c>
      <c r="H29" s="180" t="s">
        <v>792</v>
      </c>
      <c r="I29" s="194" t="s">
        <v>793</v>
      </c>
      <c r="J29" s="195" t="s">
        <v>794</v>
      </c>
      <c r="K29" s="10" t="s">
        <v>90</v>
      </c>
      <c r="L29" s="11">
        <v>1</v>
      </c>
      <c r="M29" s="11">
        <v>420.3</v>
      </c>
      <c r="N29" s="18">
        <v>86053</v>
      </c>
      <c r="O29" s="203"/>
      <c r="P29" s="18"/>
      <c r="Q29" s="10" t="s">
        <v>795</v>
      </c>
      <c r="R29" s="21">
        <v>1</v>
      </c>
      <c r="S29" s="12"/>
      <c r="T29" s="22"/>
      <c r="U29" s="22"/>
      <c r="V29" s="14" t="s">
        <v>536</v>
      </c>
      <c r="W29" s="14" t="s">
        <v>796</v>
      </c>
      <c r="X29" s="209" t="s">
        <v>797</v>
      </c>
      <c r="Y29" s="209" t="s">
        <v>692</v>
      </c>
      <c r="Z29" s="28"/>
      <c r="AA29" s="28"/>
      <c r="AB29" s="28"/>
      <c r="AC29" s="28"/>
      <c r="AD29" s="30"/>
      <c r="AE29" s="31"/>
      <c r="AF29" s="31"/>
      <c r="AG29" s="32"/>
      <c r="AH29" s="33"/>
      <c r="AI29" s="33"/>
      <c r="AJ29" s="33"/>
      <c r="AK29" s="34"/>
      <c r="AL29" s="36"/>
      <c r="AM29" s="36"/>
      <c r="AN29" s="36"/>
      <c r="AO29" s="32"/>
      <c r="AP29" s="40"/>
      <c r="AQ29" s="41"/>
      <c r="AR29" s="225"/>
      <c r="AS29" s="40"/>
      <c r="AT29" s="45"/>
    </row>
    <row r="30" ht="34" spans="1:46">
      <c r="A30" s="11">
        <v>19</v>
      </c>
      <c r="B30" s="180" t="s">
        <v>798</v>
      </c>
      <c r="C30" s="181" t="s">
        <v>84</v>
      </c>
      <c r="D30" s="182" t="s">
        <v>599</v>
      </c>
      <c r="E30" s="6">
        <v>46237</v>
      </c>
      <c r="F30" s="180" t="s">
        <v>266</v>
      </c>
      <c r="G30" s="180" t="s">
        <v>50</v>
      </c>
      <c r="H30" s="180" t="s">
        <v>799</v>
      </c>
      <c r="I30" s="194">
        <v>777421504</v>
      </c>
      <c r="J30" s="195" t="s">
        <v>800</v>
      </c>
      <c r="K30" s="10" t="s">
        <v>212</v>
      </c>
      <c r="L30" s="11">
        <v>1</v>
      </c>
      <c r="M30" s="11">
        <v>290.5</v>
      </c>
      <c r="N30" s="18">
        <v>138373</v>
      </c>
      <c r="O30" s="203"/>
      <c r="P30" s="18"/>
      <c r="Q30" s="10"/>
      <c r="R30" s="21">
        <v>1</v>
      </c>
      <c r="S30" s="12" t="s">
        <v>801</v>
      </c>
      <c r="T30" s="22" t="s">
        <v>802</v>
      </c>
      <c r="U30" s="22"/>
      <c r="V30" s="14" t="s">
        <v>803</v>
      </c>
      <c r="W30" s="14" t="s">
        <v>804</v>
      </c>
      <c r="X30" s="25">
        <v>0.166666666666667</v>
      </c>
      <c r="Y30" s="209" t="s">
        <v>805</v>
      </c>
      <c r="Z30" s="28"/>
      <c r="AA30" s="28"/>
      <c r="AB30" s="28"/>
      <c r="AC30" s="28"/>
      <c r="AD30" s="30"/>
      <c r="AE30" s="31"/>
      <c r="AF30" s="31"/>
      <c r="AG30" s="32"/>
      <c r="AH30" s="33"/>
      <c r="AI30" s="33"/>
      <c r="AJ30" s="33"/>
      <c r="AK30" s="34"/>
      <c r="AL30" s="36"/>
      <c r="AM30" s="36"/>
      <c r="AN30" s="36"/>
      <c r="AO30" s="32"/>
      <c r="AP30" s="40">
        <v>140000</v>
      </c>
      <c r="AQ30" s="41">
        <v>46084</v>
      </c>
      <c r="AR30" s="225">
        <f t="shared" ref="AR30:AR31" si="2">AP30-(N30+AE30+AF30)</f>
        <v>1627</v>
      </c>
      <c r="AS30" s="40"/>
      <c r="AT30" s="45"/>
    </row>
    <row r="31" ht="51" spans="1:46">
      <c r="A31" s="11">
        <v>20</v>
      </c>
      <c r="B31" s="180" t="s">
        <v>806</v>
      </c>
      <c r="C31" s="181" t="s">
        <v>84</v>
      </c>
      <c r="D31" s="182" t="s">
        <v>599</v>
      </c>
      <c r="E31" s="6">
        <v>46237</v>
      </c>
      <c r="F31" s="180" t="s">
        <v>708</v>
      </c>
      <c r="G31" s="180" t="s">
        <v>50</v>
      </c>
      <c r="H31" s="180" t="s">
        <v>709</v>
      </c>
      <c r="I31" s="194" t="s">
        <v>710</v>
      </c>
      <c r="J31" s="195" t="s">
        <v>807</v>
      </c>
      <c r="K31" s="10" t="s">
        <v>212</v>
      </c>
      <c r="L31" s="11">
        <v>1</v>
      </c>
      <c r="M31" s="11">
        <v>306.2</v>
      </c>
      <c r="N31" s="18">
        <v>148515</v>
      </c>
      <c r="O31" s="203"/>
      <c r="P31" s="18"/>
      <c r="Q31" s="10" t="s">
        <v>758</v>
      </c>
      <c r="R31" s="21">
        <v>1</v>
      </c>
      <c r="S31" s="12" t="s">
        <v>775</v>
      </c>
      <c r="T31" s="22" t="s">
        <v>808</v>
      </c>
      <c r="U31" s="22" t="s">
        <v>809</v>
      </c>
      <c r="V31" s="14" t="s">
        <v>713</v>
      </c>
      <c r="W31" s="14" t="s">
        <v>810</v>
      </c>
      <c r="X31" s="25">
        <v>0.25</v>
      </c>
      <c r="Y31" s="25">
        <v>0.916666666666667</v>
      </c>
      <c r="Z31" s="28"/>
      <c r="AA31" s="28"/>
      <c r="AB31" s="28"/>
      <c r="AC31" s="28"/>
      <c r="AD31" s="30"/>
      <c r="AE31" s="31"/>
      <c r="AF31" s="31"/>
      <c r="AG31" s="32"/>
      <c r="AH31" s="33"/>
      <c r="AI31" s="33"/>
      <c r="AJ31" s="33"/>
      <c r="AK31" s="34"/>
      <c r="AL31" s="36"/>
      <c r="AM31" s="36"/>
      <c r="AN31" s="36"/>
      <c r="AO31" s="32"/>
      <c r="AP31" s="40">
        <f>223600-75000</f>
        <v>148600</v>
      </c>
      <c r="AQ31" s="41">
        <v>46072</v>
      </c>
      <c r="AR31" s="43">
        <f t="shared" si="2"/>
        <v>85</v>
      </c>
      <c r="AS31" s="40"/>
      <c r="AT31" s="45"/>
    </row>
    <row r="32" s="78" customFormat="1" ht="43" customHeight="1" spans="1:46">
      <c r="A32" s="11"/>
      <c r="B32" s="323" t="s">
        <v>811</v>
      </c>
      <c r="C32" s="55" t="s">
        <v>60</v>
      </c>
      <c r="D32" s="182" t="s">
        <v>599</v>
      </c>
      <c r="E32" s="56">
        <v>46095</v>
      </c>
      <c r="F32" s="3"/>
      <c r="G32" s="3" t="s">
        <v>50</v>
      </c>
      <c r="H32" s="3" t="s">
        <v>812</v>
      </c>
      <c r="I32" s="198"/>
      <c r="J32" s="9"/>
      <c r="K32" s="10"/>
      <c r="L32" s="11"/>
      <c r="M32" s="11"/>
      <c r="N32" s="18">
        <v>184267</v>
      </c>
      <c r="O32" s="203"/>
      <c r="P32" s="18"/>
      <c r="Q32" s="57"/>
      <c r="R32" s="11"/>
      <c r="S32" s="207"/>
      <c r="T32" s="208"/>
      <c r="U32" s="212"/>
      <c r="V32" s="213"/>
      <c r="W32" s="214"/>
      <c r="X32" s="211"/>
      <c r="Y32" s="211"/>
      <c r="Z32" s="215"/>
      <c r="AA32" s="215"/>
      <c r="AB32" s="215"/>
      <c r="AC32" s="215"/>
      <c r="AD32" s="216"/>
      <c r="AE32" s="217"/>
      <c r="AF32" s="217"/>
      <c r="AG32" s="218"/>
      <c r="AH32" s="219"/>
      <c r="AI32" s="219"/>
      <c r="AJ32" s="219"/>
      <c r="AK32" s="220"/>
      <c r="AL32" s="5"/>
      <c r="AM32" s="5"/>
      <c r="AN32" s="5"/>
      <c r="AO32" s="218"/>
      <c r="AP32" s="223"/>
      <c r="AQ32" s="224"/>
      <c r="AR32" s="225"/>
      <c r="AS32" s="223"/>
      <c r="AT32" s="231"/>
    </row>
    <row r="33" ht="34" spans="1:46">
      <c r="A33" s="11">
        <v>30</v>
      </c>
      <c r="B33" s="180" t="s">
        <v>813</v>
      </c>
      <c r="C33" s="181" t="s">
        <v>60</v>
      </c>
      <c r="D33" s="182" t="s">
        <v>599</v>
      </c>
      <c r="E33" s="6">
        <v>46268</v>
      </c>
      <c r="F33" s="180" t="s">
        <v>814</v>
      </c>
      <c r="G33" s="180" t="s">
        <v>86</v>
      </c>
      <c r="H33" s="180" t="s">
        <v>815</v>
      </c>
      <c r="I33" s="194" t="s">
        <v>816</v>
      </c>
      <c r="J33" s="195" t="s">
        <v>817</v>
      </c>
      <c r="K33" s="10" t="s">
        <v>90</v>
      </c>
      <c r="L33" s="11">
        <v>1</v>
      </c>
      <c r="M33" s="11">
        <v>201.3</v>
      </c>
      <c r="N33" s="18">
        <v>47728</v>
      </c>
      <c r="O33" s="203"/>
      <c r="P33" s="18"/>
      <c r="Q33" s="10" t="s">
        <v>818</v>
      </c>
      <c r="R33" s="21">
        <v>1</v>
      </c>
      <c r="S33" s="12"/>
      <c r="T33" s="22"/>
      <c r="U33" s="22"/>
      <c r="V33" s="14" t="s">
        <v>819</v>
      </c>
      <c r="W33" s="14" t="s">
        <v>820</v>
      </c>
      <c r="X33" s="209" t="s">
        <v>821</v>
      </c>
      <c r="Y33" s="209" t="s">
        <v>822</v>
      </c>
      <c r="Z33" s="28"/>
      <c r="AA33" s="28"/>
      <c r="AB33" s="28"/>
      <c r="AC33" s="28"/>
      <c r="AD33" s="30"/>
      <c r="AE33" s="31"/>
      <c r="AF33" s="31"/>
      <c r="AG33" s="32"/>
      <c r="AH33" s="33"/>
      <c r="AI33" s="33"/>
      <c r="AJ33" s="33"/>
      <c r="AK33" s="34"/>
      <c r="AL33" s="36"/>
      <c r="AM33" s="36"/>
      <c r="AN33" s="36"/>
      <c r="AO33" s="32"/>
      <c r="AP33" s="40"/>
      <c r="AQ33" s="41"/>
      <c r="AR33" s="221"/>
      <c r="AS33" s="40"/>
      <c r="AT33" s="45"/>
    </row>
    <row r="34" ht="34" spans="1:46">
      <c r="A34" s="11">
        <v>21</v>
      </c>
      <c r="B34" s="180" t="s">
        <v>823</v>
      </c>
      <c r="C34" s="181" t="s">
        <v>84</v>
      </c>
      <c r="D34" s="182" t="s">
        <v>599</v>
      </c>
      <c r="E34" s="6">
        <v>46298</v>
      </c>
      <c r="F34" s="180" t="s">
        <v>144</v>
      </c>
      <c r="G34" s="180" t="s">
        <v>86</v>
      </c>
      <c r="H34" s="180" t="s">
        <v>687</v>
      </c>
      <c r="I34" s="194" t="s">
        <v>688</v>
      </c>
      <c r="J34" s="195" t="s">
        <v>721</v>
      </c>
      <c r="K34" s="10" t="s">
        <v>90</v>
      </c>
      <c r="L34" s="11">
        <v>1</v>
      </c>
      <c r="M34" s="11">
        <v>7.2</v>
      </c>
      <c r="N34" s="18">
        <v>14536</v>
      </c>
      <c r="O34" s="203"/>
      <c r="P34" s="18"/>
      <c r="Q34" s="10"/>
      <c r="R34" s="21">
        <v>1</v>
      </c>
      <c r="S34" s="12"/>
      <c r="T34" s="22"/>
      <c r="U34" s="22"/>
      <c r="V34" s="14" t="s">
        <v>371</v>
      </c>
      <c r="W34" s="14" t="s">
        <v>690</v>
      </c>
      <c r="X34" s="209" t="s">
        <v>691</v>
      </c>
      <c r="Y34" s="209" t="s">
        <v>692</v>
      </c>
      <c r="Z34" s="28"/>
      <c r="AA34" s="28"/>
      <c r="AB34" s="28"/>
      <c r="AC34" s="28"/>
      <c r="AD34" s="30"/>
      <c r="AE34" s="31"/>
      <c r="AF34" s="31"/>
      <c r="AG34" s="32"/>
      <c r="AH34" s="33"/>
      <c r="AI34" s="33"/>
      <c r="AJ34" s="33"/>
      <c r="AK34" s="34"/>
      <c r="AL34" s="36"/>
      <c r="AM34" s="36"/>
      <c r="AN34" s="36"/>
      <c r="AO34" s="32"/>
      <c r="AP34" s="40"/>
      <c r="AQ34" s="41"/>
      <c r="AR34" s="221"/>
      <c r="AS34" s="40"/>
      <c r="AT34" s="45"/>
    </row>
    <row r="35" ht="34" spans="1:46">
      <c r="A35" s="11">
        <v>22</v>
      </c>
      <c r="B35" s="180" t="s">
        <v>824</v>
      </c>
      <c r="C35" s="181" t="s">
        <v>84</v>
      </c>
      <c r="D35" s="182" t="s">
        <v>599</v>
      </c>
      <c r="E35" s="6">
        <v>46298</v>
      </c>
      <c r="F35" s="180" t="s">
        <v>144</v>
      </c>
      <c r="G35" s="180" t="s">
        <v>86</v>
      </c>
      <c r="H35" s="180" t="s">
        <v>825</v>
      </c>
      <c r="I35" s="194" t="s">
        <v>826</v>
      </c>
      <c r="J35" s="195" t="s">
        <v>827</v>
      </c>
      <c r="K35" s="10" t="s">
        <v>122</v>
      </c>
      <c r="L35" s="11">
        <v>1</v>
      </c>
      <c r="M35" s="11">
        <v>31</v>
      </c>
      <c r="N35" s="18">
        <v>26102</v>
      </c>
      <c r="O35" s="203"/>
      <c r="P35" s="18"/>
      <c r="Q35" s="10"/>
      <c r="R35" s="21"/>
      <c r="S35" s="12"/>
      <c r="T35" s="22"/>
      <c r="U35" s="22"/>
      <c r="V35" s="14"/>
      <c r="W35" s="14"/>
      <c r="X35" s="25"/>
      <c r="Y35" s="25"/>
      <c r="Z35" s="28"/>
      <c r="AA35" s="28"/>
      <c r="AB35" s="28"/>
      <c r="AC35" s="28"/>
      <c r="AD35" s="30"/>
      <c r="AE35" s="31"/>
      <c r="AF35" s="31"/>
      <c r="AG35" s="32"/>
      <c r="AH35" s="33"/>
      <c r="AI35" s="33"/>
      <c r="AJ35" s="33"/>
      <c r="AK35" s="34"/>
      <c r="AL35" s="36"/>
      <c r="AM35" s="36"/>
      <c r="AN35" s="36"/>
      <c r="AO35" s="32"/>
      <c r="AP35" s="40"/>
      <c r="AQ35" s="41"/>
      <c r="AR35" s="221"/>
      <c r="AS35" s="40"/>
      <c r="AT35" s="45"/>
    </row>
    <row r="36" ht="34" spans="1:46">
      <c r="A36" s="11">
        <v>23</v>
      </c>
      <c r="B36" s="180" t="s">
        <v>828</v>
      </c>
      <c r="C36" s="181" t="s">
        <v>84</v>
      </c>
      <c r="D36" s="182" t="s">
        <v>599</v>
      </c>
      <c r="E36" s="6">
        <v>46298</v>
      </c>
      <c r="F36" s="180" t="s">
        <v>532</v>
      </c>
      <c r="G36" s="180" t="s">
        <v>86</v>
      </c>
      <c r="H36" s="180" t="s">
        <v>829</v>
      </c>
      <c r="I36" s="194" t="s">
        <v>830</v>
      </c>
      <c r="J36" s="195" t="s">
        <v>535</v>
      </c>
      <c r="K36" s="10" t="s">
        <v>90</v>
      </c>
      <c r="L36" s="11">
        <v>2</v>
      </c>
      <c r="M36" s="11">
        <v>4.9</v>
      </c>
      <c r="N36" s="18">
        <v>18065</v>
      </c>
      <c r="O36" s="203"/>
      <c r="P36" s="18"/>
      <c r="Q36" s="10" t="s">
        <v>718</v>
      </c>
      <c r="R36" s="21">
        <v>1</v>
      </c>
      <c r="S36" s="12"/>
      <c r="T36" s="22"/>
      <c r="U36" s="22"/>
      <c r="V36" s="14" t="s">
        <v>536</v>
      </c>
      <c r="W36" s="14" t="s">
        <v>537</v>
      </c>
      <c r="X36" s="209" t="s">
        <v>373</v>
      </c>
      <c r="Y36" s="209" t="s">
        <v>538</v>
      </c>
      <c r="Z36" s="28"/>
      <c r="AA36" s="28"/>
      <c r="AB36" s="28"/>
      <c r="AC36" s="28"/>
      <c r="AD36" s="30"/>
      <c r="AE36" s="31"/>
      <c r="AF36" s="31"/>
      <c r="AG36" s="32"/>
      <c r="AH36" s="33"/>
      <c r="AI36" s="33"/>
      <c r="AJ36" s="33"/>
      <c r="AK36" s="34"/>
      <c r="AL36" s="36"/>
      <c r="AM36" s="36"/>
      <c r="AN36" s="36"/>
      <c r="AO36" s="32"/>
      <c r="AP36" s="40"/>
      <c r="AQ36" s="41"/>
      <c r="AR36" s="221"/>
      <c r="AS36" s="40"/>
      <c r="AT36" s="45"/>
    </row>
    <row r="37" ht="51" spans="1:46">
      <c r="A37" s="11">
        <v>24</v>
      </c>
      <c r="B37" s="180" t="s">
        <v>831</v>
      </c>
      <c r="C37" s="181" t="s">
        <v>84</v>
      </c>
      <c r="D37" s="182" t="s">
        <v>599</v>
      </c>
      <c r="E37" s="6">
        <v>46329</v>
      </c>
      <c r="F37" s="180" t="s">
        <v>832</v>
      </c>
      <c r="G37" s="180" t="s">
        <v>86</v>
      </c>
      <c r="H37" s="180" t="s">
        <v>833</v>
      </c>
      <c r="I37" s="194">
        <v>762327925</v>
      </c>
      <c r="J37" s="195" t="s">
        <v>834</v>
      </c>
      <c r="K37" s="10" t="s">
        <v>90</v>
      </c>
      <c r="L37" s="11">
        <v>1</v>
      </c>
      <c r="M37" s="11">
        <v>16.3</v>
      </c>
      <c r="N37" s="18">
        <v>16000</v>
      </c>
      <c r="O37" s="203"/>
      <c r="P37" s="18"/>
      <c r="Q37" s="10" t="s">
        <v>835</v>
      </c>
      <c r="R37" s="21"/>
      <c r="S37" s="12"/>
      <c r="T37" s="22"/>
      <c r="U37" s="22"/>
      <c r="V37" s="14" t="s">
        <v>836</v>
      </c>
      <c r="W37" s="14" t="s">
        <v>837</v>
      </c>
      <c r="X37" s="25">
        <v>0.354166666666667</v>
      </c>
      <c r="Y37" s="25">
        <v>0.4375</v>
      </c>
      <c r="Z37" s="28"/>
      <c r="AA37" s="28"/>
      <c r="AB37" s="28"/>
      <c r="AC37" s="28"/>
      <c r="AD37" s="30"/>
      <c r="AE37" s="31"/>
      <c r="AF37" s="31"/>
      <c r="AG37" s="32"/>
      <c r="AH37" s="33"/>
      <c r="AI37" s="33"/>
      <c r="AJ37" s="33"/>
      <c r="AK37" s="34"/>
      <c r="AL37" s="36"/>
      <c r="AM37" s="36"/>
      <c r="AN37" s="36"/>
      <c r="AO37" s="32"/>
      <c r="AP37" s="40"/>
      <c r="AQ37" s="41"/>
      <c r="AR37" s="221"/>
      <c r="AS37" s="40"/>
      <c r="AT37" s="45"/>
    </row>
    <row r="38" ht="84" spans="1:46">
      <c r="A38" s="11">
        <v>25</v>
      </c>
      <c r="B38" s="180" t="s">
        <v>838</v>
      </c>
      <c r="C38" s="181" t="s">
        <v>60</v>
      </c>
      <c r="D38" s="182" t="s">
        <v>599</v>
      </c>
      <c r="E38" s="6">
        <v>46329</v>
      </c>
      <c r="F38" s="180" t="s">
        <v>657</v>
      </c>
      <c r="G38" s="180" t="s">
        <v>86</v>
      </c>
      <c r="H38" s="180" t="s">
        <v>839</v>
      </c>
      <c r="I38" s="194">
        <v>760490350</v>
      </c>
      <c r="J38" s="195" t="s">
        <v>840</v>
      </c>
      <c r="K38" s="10" t="s">
        <v>90</v>
      </c>
      <c r="L38" s="11">
        <v>6</v>
      </c>
      <c r="M38" s="11">
        <v>87.4</v>
      </c>
      <c r="N38" s="18">
        <v>180485</v>
      </c>
      <c r="O38" s="203"/>
      <c r="P38" s="18"/>
      <c r="Q38" s="10" t="s">
        <v>718</v>
      </c>
      <c r="R38" s="21">
        <v>1</v>
      </c>
      <c r="S38" s="12"/>
      <c r="T38" s="22"/>
      <c r="U38" s="22"/>
      <c r="V38" s="14" t="s">
        <v>201</v>
      </c>
      <c r="W38" s="14" t="s">
        <v>841</v>
      </c>
      <c r="X38" s="25">
        <v>0.25</v>
      </c>
      <c r="Y38" s="25">
        <v>0.791666666666667</v>
      </c>
      <c r="Z38" s="28"/>
      <c r="AA38" s="28"/>
      <c r="AB38" s="28"/>
      <c r="AC38" s="28"/>
      <c r="AD38" s="30"/>
      <c r="AE38" s="31"/>
      <c r="AF38" s="31"/>
      <c r="AG38" s="32"/>
      <c r="AH38" s="33"/>
      <c r="AI38" s="33"/>
      <c r="AJ38" s="33"/>
      <c r="AK38" s="34"/>
      <c r="AL38" s="36"/>
      <c r="AM38" s="36"/>
      <c r="AN38" s="36"/>
      <c r="AO38" s="32"/>
      <c r="AP38" s="40"/>
      <c r="AQ38" s="41"/>
      <c r="AR38" s="221"/>
      <c r="AS38" s="40"/>
      <c r="AT38" s="45"/>
    </row>
    <row r="39" ht="34" spans="1:46">
      <c r="A39" s="11">
        <v>36</v>
      </c>
      <c r="B39" s="180" t="s">
        <v>842</v>
      </c>
      <c r="C39" s="181" t="s">
        <v>84</v>
      </c>
      <c r="D39" s="182" t="s">
        <v>599</v>
      </c>
      <c r="E39" s="6">
        <v>46329</v>
      </c>
      <c r="F39" s="180" t="s">
        <v>665</v>
      </c>
      <c r="G39" s="180" t="s">
        <v>86</v>
      </c>
      <c r="H39" s="180" t="s">
        <v>843</v>
      </c>
      <c r="I39" s="194" t="s">
        <v>844</v>
      </c>
      <c r="J39" s="195" t="s">
        <v>845</v>
      </c>
      <c r="K39" s="10" t="s">
        <v>90</v>
      </c>
      <c r="L39" s="11">
        <v>1</v>
      </c>
      <c r="M39" s="11">
        <v>45.2</v>
      </c>
      <c r="N39" s="18">
        <v>20490</v>
      </c>
      <c r="O39" s="203"/>
      <c r="P39" s="18"/>
      <c r="Q39" s="10" t="s">
        <v>718</v>
      </c>
      <c r="R39" s="21">
        <v>1</v>
      </c>
      <c r="S39" s="12"/>
      <c r="T39" s="22"/>
      <c r="U39" s="22"/>
      <c r="V39" s="14" t="s">
        <v>697</v>
      </c>
      <c r="W39" s="14" t="s">
        <v>846</v>
      </c>
      <c r="X39" s="209" t="s">
        <v>373</v>
      </c>
      <c r="Y39" s="209" t="s">
        <v>847</v>
      </c>
      <c r="Z39" s="28"/>
      <c r="AA39" s="28"/>
      <c r="AB39" s="28"/>
      <c r="AC39" s="28"/>
      <c r="AD39" s="30"/>
      <c r="AE39" s="31"/>
      <c r="AF39" s="31"/>
      <c r="AG39" s="32"/>
      <c r="AH39" s="33"/>
      <c r="AI39" s="33"/>
      <c r="AJ39" s="33"/>
      <c r="AK39" s="34"/>
      <c r="AL39" s="36"/>
      <c r="AM39" s="36"/>
      <c r="AN39" s="36"/>
      <c r="AO39" s="32"/>
      <c r="AP39" s="40"/>
      <c r="AQ39" s="41"/>
      <c r="AR39" s="221"/>
      <c r="AS39" s="40"/>
      <c r="AT39" s="45"/>
    </row>
    <row r="40" ht="34" spans="1:46">
      <c r="A40" s="11">
        <v>37</v>
      </c>
      <c r="B40" s="180" t="s">
        <v>848</v>
      </c>
      <c r="C40" s="181" t="s">
        <v>84</v>
      </c>
      <c r="D40" s="182" t="s">
        <v>599</v>
      </c>
      <c r="E40" s="53">
        <v>46359</v>
      </c>
      <c r="F40" s="180" t="s">
        <v>849</v>
      </c>
      <c r="G40" s="180" t="s">
        <v>86</v>
      </c>
      <c r="H40" s="180" t="s">
        <v>850</v>
      </c>
      <c r="I40" s="194" t="s">
        <v>851</v>
      </c>
      <c r="J40" s="195" t="s">
        <v>852</v>
      </c>
      <c r="K40" s="10" t="s">
        <v>90</v>
      </c>
      <c r="L40" s="11">
        <v>2</v>
      </c>
      <c r="M40" s="11">
        <v>9</v>
      </c>
      <c r="N40" s="18">
        <v>18064</v>
      </c>
      <c r="O40" s="203"/>
      <c r="P40" s="18"/>
      <c r="Q40" s="10" t="s">
        <v>718</v>
      </c>
      <c r="R40" s="21">
        <v>1</v>
      </c>
      <c r="S40" s="12"/>
      <c r="T40" s="22"/>
      <c r="U40" s="22"/>
      <c r="V40" s="14" t="s">
        <v>853</v>
      </c>
      <c r="W40" s="14" t="s">
        <v>854</v>
      </c>
      <c r="X40" s="25">
        <v>0.354166666666667</v>
      </c>
      <c r="Y40" s="25">
        <v>0.479166666666667</v>
      </c>
      <c r="Z40" s="28"/>
      <c r="AA40" s="28"/>
      <c r="AB40" s="28"/>
      <c r="AC40" s="28"/>
      <c r="AD40" s="30"/>
      <c r="AE40" s="31"/>
      <c r="AF40" s="31"/>
      <c r="AG40" s="32"/>
      <c r="AH40" s="33"/>
      <c r="AI40" s="33"/>
      <c r="AJ40" s="33"/>
      <c r="AK40" s="34"/>
      <c r="AL40" s="36"/>
      <c r="AM40" s="36"/>
      <c r="AN40" s="36"/>
      <c r="AO40" s="32"/>
      <c r="AP40" s="40"/>
      <c r="AQ40" s="41"/>
      <c r="AR40" s="221"/>
      <c r="AS40" s="40"/>
      <c r="AT40" s="45"/>
    </row>
    <row r="41" ht="68" spans="1:46">
      <c r="A41" s="11">
        <v>38</v>
      </c>
      <c r="B41" s="180" t="s">
        <v>855</v>
      </c>
      <c r="C41" s="181" t="s">
        <v>84</v>
      </c>
      <c r="D41" s="182" t="s">
        <v>599</v>
      </c>
      <c r="E41" s="6">
        <v>46359</v>
      </c>
      <c r="F41" s="180" t="s">
        <v>701</v>
      </c>
      <c r="G41" s="180" t="s">
        <v>86</v>
      </c>
      <c r="H41" s="180" t="s">
        <v>702</v>
      </c>
      <c r="I41" s="194" t="s">
        <v>856</v>
      </c>
      <c r="J41" s="195" t="s">
        <v>857</v>
      </c>
      <c r="K41" s="10" t="s">
        <v>90</v>
      </c>
      <c r="L41" s="11">
        <v>2</v>
      </c>
      <c r="M41" s="11">
        <v>24.2</v>
      </c>
      <c r="N41" s="18">
        <v>32065</v>
      </c>
      <c r="O41" s="203"/>
      <c r="P41" s="18"/>
      <c r="Q41" s="10" t="s">
        <v>705</v>
      </c>
      <c r="R41" s="21">
        <v>1</v>
      </c>
      <c r="S41" s="12"/>
      <c r="T41" s="22"/>
      <c r="U41" s="22"/>
      <c r="V41" s="14" t="s">
        <v>701</v>
      </c>
      <c r="W41" s="14" t="s">
        <v>858</v>
      </c>
      <c r="X41" s="25">
        <v>0.354166666666667</v>
      </c>
      <c r="Y41" s="25">
        <v>0.5</v>
      </c>
      <c r="Z41" s="28"/>
      <c r="AA41" s="28"/>
      <c r="AB41" s="28"/>
      <c r="AC41" s="28"/>
      <c r="AD41" s="30"/>
      <c r="AE41" s="31"/>
      <c r="AF41" s="31"/>
      <c r="AG41" s="32"/>
      <c r="AH41" s="33"/>
      <c r="AI41" s="33"/>
      <c r="AJ41" s="33"/>
      <c r="AK41" s="34"/>
      <c r="AL41" s="36"/>
      <c r="AM41" s="36"/>
      <c r="AN41" s="36"/>
      <c r="AO41" s="32"/>
      <c r="AP41" s="40"/>
      <c r="AQ41" s="41"/>
      <c r="AR41" s="221"/>
      <c r="AS41" s="40"/>
      <c r="AT41" s="45"/>
    </row>
    <row r="42" ht="34" spans="1:46">
      <c r="A42" s="11">
        <v>26</v>
      </c>
      <c r="B42" s="180" t="s">
        <v>859</v>
      </c>
      <c r="C42" s="181" t="s">
        <v>60</v>
      </c>
      <c r="D42" s="182" t="s">
        <v>599</v>
      </c>
      <c r="E42" s="57" t="s">
        <v>860</v>
      </c>
      <c r="F42" s="180" t="s">
        <v>849</v>
      </c>
      <c r="G42" s="180" t="s">
        <v>86</v>
      </c>
      <c r="H42" s="180" t="s">
        <v>850</v>
      </c>
      <c r="I42" s="194" t="s">
        <v>851</v>
      </c>
      <c r="J42" s="195" t="s">
        <v>861</v>
      </c>
      <c r="K42" s="10" t="s">
        <v>90</v>
      </c>
      <c r="L42" s="11">
        <v>2</v>
      </c>
      <c r="M42" s="11">
        <v>9.6</v>
      </c>
      <c r="N42" s="18">
        <v>18064</v>
      </c>
      <c r="O42" s="203"/>
      <c r="P42" s="18"/>
      <c r="Q42" s="10" t="s">
        <v>718</v>
      </c>
      <c r="R42" s="21">
        <v>1</v>
      </c>
      <c r="S42" s="12"/>
      <c r="T42" s="22"/>
      <c r="U42" s="22"/>
      <c r="V42" s="14" t="s">
        <v>853</v>
      </c>
      <c r="W42" s="14" t="s">
        <v>862</v>
      </c>
      <c r="X42" s="25">
        <v>0.354166666666667</v>
      </c>
      <c r="Y42" s="25">
        <v>0.5</v>
      </c>
      <c r="Z42" s="28"/>
      <c r="AA42" s="28"/>
      <c r="AB42" s="28"/>
      <c r="AC42" s="28"/>
      <c r="AD42" s="30"/>
      <c r="AE42" s="31"/>
      <c r="AF42" s="31"/>
      <c r="AG42" s="32"/>
      <c r="AH42" s="33"/>
      <c r="AI42" s="33"/>
      <c r="AJ42" s="33"/>
      <c r="AK42" s="34"/>
      <c r="AL42" s="36"/>
      <c r="AM42" s="36"/>
      <c r="AN42" s="36"/>
      <c r="AO42" s="32"/>
      <c r="AP42" s="40"/>
      <c r="AQ42" s="41"/>
      <c r="AR42" s="221"/>
      <c r="AS42" s="40"/>
      <c r="AT42" s="45"/>
    </row>
    <row r="43" ht="34" spans="1:46">
      <c r="A43" s="11">
        <v>27</v>
      </c>
      <c r="B43" s="180" t="s">
        <v>863</v>
      </c>
      <c r="C43" s="181" t="s">
        <v>84</v>
      </c>
      <c r="D43" s="182" t="s">
        <v>599</v>
      </c>
      <c r="E43" s="57" t="s">
        <v>860</v>
      </c>
      <c r="F43" s="180" t="s">
        <v>144</v>
      </c>
      <c r="G43" s="180" t="s">
        <v>86</v>
      </c>
      <c r="H43" s="180" t="s">
        <v>825</v>
      </c>
      <c r="I43" s="194" t="s">
        <v>826</v>
      </c>
      <c r="J43" s="195" t="s">
        <v>827</v>
      </c>
      <c r="K43" s="10" t="s">
        <v>122</v>
      </c>
      <c r="L43" s="11">
        <v>1</v>
      </c>
      <c r="M43" s="11">
        <v>31</v>
      </c>
      <c r="N43" s="18">
        <v>26747</v>
      </c>
      <c r="O43" s="203"/>
      <c r="P43" s="18"/>
      <c r="Q43" s="10"/>
      <c r="R43" s="21">
        <v>1</v>
      </c>
      <c r="S43" s="12"/>
      <c r="T43" s="22"/>
      <c r="U43" s="22"/>
      <c r="V43" s="14" t="s">
        <v>371</v>
      </c>
      <c r="W43" s="14" t="s">
        <v>201</v>
      </c>
      <c r="X43" s="209" t="s">
        <v>205</v>
      </c>
      <c r="Y43" s="209" t="s">
        <v>691</v>
      </c>
      <c r="Z43" s="28"/>
      <c r="AA43" s="28"/>
      <c r="AB43" s="28"/>
      <c r="AC43" s="28"/>
      <c r="AD43" s="30"/>
      <c r="AE43" s="31"/>
      <c r="AF43" s="31"/>
      <c r="AG43" s="32"/>
      <c r="AH43" s="33"/>
      <c r="AI43" s="33"/>
      <c r="AJ43" s="33"/>
      <c r="AK43" s="34"/>
      <c r="AL43" s="36"/>
      <c r="AM43" s="36"/>
      <c r="AN43" s="36"/>
      <c r="AO43" s="32"/>
      <c r="AP43" s="40"/>
      <c r="AQ43" s="41"/>
      <c r="AR43" s="43"/>
      <c r="AS43" s="40"/>
      <c r="AT43" s="45"/>
    </row>
    <row r="44" ht="34" spans="1:46">
      <c r="A44" s="11">
        <v>28</v>
      </c>
      <c r="B44" s="180" t="s">
        <v>864</v>
      </c>
      <c r="C44" s="181" t="s">
        <v>84</v>
      </c>
      <c r="D44" s="182" t="s">
        <v>599</v>
      </c>
      <c r="E44" s="56">
        <v>46095</v>
      </c>
      <c r="F44" s="180" t="s">
        <v>865</v>
      </c>
      <c r="G44" s="180" t="s">
        <v>86</v>
      </c>
      <c r="H44" s="180" t="s">
        <v>866</v>
      </c>
      <c r="I44" s="194" t="s">
        <v>867</v>
      </c>
      <c r="J44" s="195" t="s">
        <v>868</v>
      </c>
      <c r="K44" s="10" t="s">
        <v>122</v>
      </c>
      <c r="L44" s="11">
        <v>1</v>
      </c>
      <c r="M44" s="11">
        <v>31</v>
      </c>
      <c r="N44" s="18">
        <v>27000</v>
      </c>
      <c r="O44" s="203"/>
      <c r="P44" s="18"/>
      <c r="Q44" s="10"/>
      <c r="R44" s="21">
        <v>1</v>
      </c>
      <c r="S44" s="12" t="s">
        <v>186</v>
      </c>
      <c r="T44" s="22" t="s">
        <v>869</v>
      </c>
      <c r="U44" s="22" t="s">
        <v>870</v>
      </c>
      <c r="V44" s="14" t="s">
        <v>865</v>
      </c>
      <c r="W44" s="14" t="s">
        <v>201</v>
      </c>
      <c r="X44" s="209" t="s">
        <v>871</v>
      </c>
      <c r="Y44" s="209" t="s">
        <v>206</v>
      </c>
      <c r="Z44" s="28"/>
      <c r="AA44" s="28"/>
      <c r="AB44" s="28"/>
      <c r="AC44" s="28"/>
      <c r="AD44" s="30"/>
      <c r="AE44" s="31"/>
      <c r="AF44" s="31"/>
      <c r="AG44" s="32"/>
      <c r="AH44" s="33"/>
      <c r="AI44" s="33"/>
      <c r="AJ44" s="33"/>
      <c r="AK44" s="34"/>
      <c r="AL44" s="36"/>
      <c r="AM44" s="36"/>
      <c r="AN44" s="36"/>
      <c r="AO44" s="32"/>
      <c r="AP44" s="40"/>
      <c r="AQ44" s="41"/>
      <c r="AR44" s="43"/>
      <c r="AS44" s="40"/>
      <c r="AT44" s="45"/>
    </row>
    <row r="45" ht="38.25" customHeight="1" spans="1:46">
      <c r="A45" s="11">
        <v>29</v>
      </c>
      <c r="B45" s="180" t="s">
        <v>872</v>
      </c>
      <c r="C45" s="181" t="s">
        <v>84</v>
      </c>
      <c r="D45" s="182" t="s">
        <v>599</v>
      </c>
      <c r="E45" s="56">
        <v>46095</v>
      </c>
      <c r="F45" s="180" t="s">
        <v>266</v>
      </c>
      <c r="G45" s="180" t="s">
        <v>50</v>
      </c>
      <c r="H45" s="180" t="s">
        <v>873</v>
      </c>
      <c r="I45" s="194">
        <v>773130345</v>
      </c>
      <c r="J45" s="195" t="s">
        <v>874</v>
      </c>
      <c r="K45" s="10" t="s">
        <v>474</v>
      </c>
      <c r="L45" s="11">
        <v>1</v>
      </c>
      <c r="M45" s="11">
        <v>436</v>
      </c>
      <c r="N45" s="18">
        <v>89641</v>
      </c>
      <c r="O45" s="203"/>
      <c r="P45" s="18"/>
      <c r="Q45" s="10"/>
      <c r="R45" s="21">
        <v>1</v>
      </c>
      <c r="S45" s="12" t="s">
        <v>875</v>
      </c>
      <c r="T45" s="22" t="s">
        <v>876</v>
      </c>
      <c r="U45" s="22" t="s">
        <v>138</v>
      </c>
      <c r="V45" s="14" t="s">
        <v>877</v>
      </c>
      <c r="W45" s="14" t="s">
        <v>878</v>
      </c>
      <c r="X45" s="209" t="s">
        <v>879</v>
      </c>
      <c r="Y45" s="209" t="s">
        <v>264</v>
      </c>
      <c r="Z45" s="28"/>
      <c r="AA45" s="28"/>
      <c r="AB45" s="28"/>
      <c r="AC45" s="28"/>
      <c r="AD45" s="30"/>
      <c r="AE45" s="31"/>
      <c r="AF45" s="31"/>
      <c r="AG45" s="32"/>
      <c r="AH45" s="33"/>
      <c r="AI45" s="33"/>
      <c r="AJ45" s="33"/>
      <c r="AK45" s="34"/>
      <c r="AL45" s="36"/>
      <c r="AM45" s="36"/>
      <c r="AN45" s="36"/>
      <c r="AO45" s="32"/>
      <c r="AP45" s="40">
        <v>50000</v>
      </c>
      <c r="AQ45" s="41">
        <v>46093</v>
      </c>
      <c r="AR45" s="43"/>
      <c r="AS45" s="40"/>
      <c r="AT45" s="45"/>
    </row>
    <row r="46" ht="68" spans="1:46">
      <c r="A46" s="11">
        <v>30</v>
      </c>
      <c r="B46" s="180" t="s">
        <v>880</v>
      </c>
      <c r="C46" s="181" t="s">
        <v>84</v>
      </c>
      <c r="D46" s="182" t="s">
        <v>599</v>
      </c>
      <c r="E46" s="10" t="s">
        <v>881</v>
      </c>
      <c r="F46" s="180" t="s">
        <v>882</v>
      </c>
      <c r="G46" s="180" t="s">
        <v>50</v>
      </c>
      <c r="H46" s="180" t="s">
        <v>457</v>
      </c>
      <c r="I46" s="194">
        <v>716832097</v>
      </c>
      <c r="J46" s="195" t="s">
        <v>883</v>
      </c>
      <c r="K46" s="10" t="s">
        <v>212</v>
      </c>
      <c r="L46" s="11">
        <v>1</v>
      </c>
      <c r="M46" s="11">
        <v>191.3</v>
      </c>
      <c r="N46" s="18">
        <v>130547</v>
      </c>
      <c r="O46" s="203"/>
      <c r="P46" s="18"/>
      <c r="Q46" s="10"/>
      <c r="R46" s="21">
        <v>2</v>
      </c>
      <c r="S46" s="12" t="s">
        <v>801</v>
      </c>
      <c r="T46" s="22" t="s">
        <v>884</v>
      </c>
      <c r="U46" s="22" t="s">
        <v>885</v>
      </c>
      <c r="V46" s="14" t="s">
        <v>886</v>
      </c>
      <c r="W46" s="14" t="s">
        <v>887</v>
      </c>
      <c r="X46" s="25">
        <v>0.375</v>
      </c>
      <c r="Y46" s="25">
        <v>0.833333333333333</v>
      </c>
      <c r="Z46" s="28"/>
      <c r="AA46" s="28"/>
      <c r="AB46" s="28"/>
      <c r="AC46" s="28"/>
      <c r="AD46" s="30"/>
      <c r="AE46" s="31"/>
      <c r="AF46" s="31"/>
      <c r="AG46" s="32"/>
      <c r="AH46" s="33"/>
      <c r="AI46" s="33"/>
      <c r="AJ46" s="33"/>
      <c r="AK46" s="34"/>
      <c r="AL46" s="36"/>
      <c r="AM46" s="36"/>
      <c r="AN46" s="36"/>
      <c r="AO46" s="32"/>
      <c r="AP46" s="40">
        <v>57753</v>
      </c>
      <c r="AQ46" s="41">
        <v>45986</v>
      </c>
      <c r="AR46" s="43">
        <f t="shared" ref="AR46:AR47" si="3">AP46-(N46+AE46+AF46)</f>
        <v>-72794</v>
      </c>
      <c r="AS46" s="40">
        <v>1049872</v>
      </c>
      <c r="AT46" s="45"/>
    </row>
    <row r="47" ht="34" spans="1:46">
      <c r="A47" s="11">
        <v>31</v>
      </c>
      <c r="B47" s="180" t="s">
        <v>888</v>
      </c>
      <c r="C47" s="181" t="s">
        <v>84</v>
      </c>
      <c r="D47" s="182" t="s">
        <v>599</v>
      </c>
      <c r="E47" s="10" t="s">
        <v>881</v>
      </c>
      <c r="F47" s="180" t="s">
        <v>889</v>
      </c>
      <c r="G47" s="180" t="s">
        <v>50</v>
      </c>
      <c r="H47" s="180" t="s">
        <v>890</v>
      </c>
      <c r="I47" s="194" t="s">
        <v>891</v>
      </c>
      <c r="J47" s="195" t="s">
        <v>892</v>
      </c>
      <c r="K47" s="10" t="s">
        <v>122</v>
      </c>
      <c r="L47" s="11">
        <v>1</v>
      </c>
      <c r="M47" s="11">
        <v>394.4</v>
      </c>
      <c r="N47" s="18">
        <v>89233</v>
      </c>
      <c r="O47" s="203"/>
      <c r="P47" s="18"/>
      <c r="Q47" s="10"/>
      <c r="R47" s="21">
        <v>2</v>
      </c>
      <c r="S47" s="12" t="s">
        <v>893</v>
      </c>
      <c r="T47" s="22" t="s">
        <v>785</v>
      </c>
      <c r="U47" s="22" t="s">
        <v>870</v>
      </c>
      <c r="V47" s="14" t="s">
        <v>894</v>
      </c>
      <c r="W47" s="14" t="s">
        <v>895</v>
      </c>
      <c r="X47" s="25">
        <v>0.0833333333333333</v>
      </c>
      <c r="Y47" s="25">
        <v>0.75</v>
      </c>
      <c r="Z47" s="28"/>
      <c r="AA47" s="28"/>
      <c r="AB47" s="28"/>
      <c r="AC47" s="28"/>
      <c r="AD47" s="30"/>
      <c r="AE47" s="31"/>
      <c r="AF47" s="31"/>
      <c r="AG47" s="32"/>
      <c r="AH47" s="33"/>
      <c r="AI47" s="33"/>
      <c r="AJ47" s="33"/>
      <c r="AK47" s="34"/>
      <c r="AL47" s="36"/>
      <c r="AM47" s="36"/>
      <c r="AN47" s="36"/>
      <c r="AO47" s="32"/>
      <c r="AP47" s="40">
        <v>45000</v>
      </c>
      <c r="AQ47" s="41">
        <v>46055</v>
      </c>
      <c r="AR47" s="43">
        <f t="shared" si="3"/>
        <v>-44233</v>
      </c>
      <c r="AS47" s="228">
        <v>46092</v>
      </c>
      <c r="AT47" s="46"/>
    </row>
    <row r="48" ht="34.5" customHeight="1" spans="1:46">
      <c r="A48" s="11">
        <v>32</v>
      </c>
      <c r="B48" s="180" t="s">
        <v>896</v>
      </c>
      <c r="C48" s="181" t="s">
        <v>84</v>
      </c>
      <c r="D48" s="182" t="s">
        <v>599</v>
      </c>
      <c r="E48" s="190">
        <v>46095</v>
      </c>
      <c r="F48" s="180" t="s">
        <v>897</v>
      </c>
      <c r="G48" s="180" t="s">
        <v>50</v>
      </c>
      <c r="H48" s="180" t="s">
        <v>898</v>
      </c>
      <c r="I48" s="194">
        <v>718508539</v>
      </c>
      <c r="J48" s="195" t="s">
        <v>899</v>
      </c>
      <c r="K48" s="10" t="s">
        <v>900</v>
      </c>
      <c r="L48" s="11">
        <v>2</v>
      </c>
      <c r="M48" s="11">
        <v>314.2</v>
      </c>
      <c r="N48" s="18">
        <v>274524</v>
      </c>
      <c r="O48" s="203"/>
      <c r="P48" s="18"/>
      <c r="Q48" s="10" t="s">
        <v>901</v>
      </c>
      <c r="R48" s="21">
        <v>1</v>
      </c>
      <c r="S48" s="12"/>
      <c r="T48" s="22"/>
      <c r="U48" s="22"/>
      <c r="V48" s="14"/>
      <c r="W48" s="14"/>
      <c r="X48" s="25"/>
      <c r="Y48" s="25"/>
      <c r="Z48" s="28"/>
      <c r="AA48" s="28"/>
      <c r="AB48" s="28"/>
      <c r="AC48" s="28"/>
      <c r="AD48" s="30"/>
      <c r="AE48" s="31"/>
      <c r="AF48" s="31"/>
      <c r="AG48" s="32"/>
      <c r="AH48" s="33"/>
      <c r="AI48" s="33"/>
      <c r="AJ48" s="33"/>
      <c r="AK48" s="34"/>
      <c r="AL48" s="36"/>
      <c r="AM48" s="36"/>
      <c r="AN48" s="36"/>
      <c r="AO48" s="32"/>
      <c r="AP48" s="40">
        <v>140000</v>
      </c>
      <c r="AQ48" s="41"/>
      <c r="AR48" s="43">
        <v>134524</v>
      </c>
      <c r="AS48" s="228"/>
      <c r="AT48" s="46"/>
    </row>
    <row r="49" ht="34" spans="1:46">
      <c r="A49" s="11">
        <v>44</v>
      </c>
      <c r="B49" s="180" t="s">
        <v>902</v>
      </c>
      <c r="C49" s="181" t="s">
        <v>47</v>
      </c>
      <c r="D49" s="182" t="s">
        <v>599</v>
      </c>
      <c r="E49" s="190">
        <v>46096</v>
      </c>
      <c r="F49" s="180" t="s">
        <v>865</v>
      </c>
      <c r="G49" s="180" t="s">
        <v>86</v>
      </c>
      <c r="H49" s="180" t="s">
        <v>866</v>
      </c>
      <c r="I49" s="194" t="s">
        <v>867</v>
      </c>
      <c r="J49" s="195" t="s">
        <v>903</v>
      </c>
      <c r="K49" s="10" t="s">
        <v>122</v>
      </c>
      <c r="L49" s="11">
        <v>1</v>
      </c>
      <c r="M49" s="11">
        <v>39.3</v>
      </c>
      <c r="N49" s="18">
        <v>27000</v>
      </c>
      <c r="O49" s="203"/>
      <c r="P49" s="18"/>
      <c r="Q49" s="10"/>
      <c r="R49" s="21">
        <v>1</v>
      </c>
      <c r="S49" s="12"/>
      <c r="T49" s="22"/>
      <c r="U49" s="22"/>
      <c r="V49" s="14" t="s">
        <v>865</v>
      </c>
      <c r="W49" s="14" t="s">
        <v>697</v>
      </c>
      <c r="X49" s="209" t="s">
        <v>871</v>
      </c>
      <c r="Y49" s="209" t="s">
        <v>206</v>
      </c>
      <c r="Z49" s="28"/>
      <c r="AA49" s="28"/>
      <c r="AB49" s="28"/>
      <c r="AC49" s="28"/>
      <c r="AD49" s="30"/>
      <c r="AE49" s="31"/>
      <c r="AF49" s="31"/>
      <c r="AG49" s="32"/>
      <c r="AH49" s="33"/>
      <c r="AI49" s="33"/>
      <c r="AJ49" s="33"/>
      <c r="AK49" s="34"/>
      <c r="AL49" s="36"/>
      <c r="AM49" s="36"/>
      <c r="AN49" s="36"/>
      <c r="AO49" s="32"/>
      <c r="AP49" s="40"/>
      <c r="AQ49" s="41"/>
      <c r="AR49" s="43"/>
      <c r="AS49" s="40"/>
      <c r="AT49" s="46"/>
    </row>
    <row r="50" ht="89" customHeight="1" spans="1:46">
      <c r="A50" s="11">
        <v>33</v>
      </c>
      <c r="B50" s="180" t="s">
        <v>904</v>
      </c>
      <c r="C50" s="181" t="s">
        <v>84</v>
      </c>
      <c r="D50" s="182" t="s">
        <v>599</v>
      </c>
      <c r="E50" s="190">
        <v>46096</v>
      </c>
      <c r="F50" s="180" t="s">
        <v>905</v>
      </c>
      <c r="G50" s="180" t="s">
        <v>50</v>
      </c>
      <c r="H50" s="180" t="s">
        <v>906</v>
      </c>
      <c r="I50" s="194">
        <v>759408788</v>
      </c>
      <c r="J50" s="195" t="s">
        <v>907</v>
      </c>
      <c r="K50" s="10" t="s">
        <v>908</v>
      </c>
      <c r="L50" s="11">
        <v>1</v>
      </c>
      <c r="M50" s="11">
        <v>556.9</v>
      </c>
      <c r="N50" s="18">
        <v>115394</v>
      </c>
      <c r="O50" s="203"/>
      <c r="P50" s="18"/>
      <c r="Q50" s="10"/>
      <c r="R50" s="21">
        <v>1</v>
      </c>
      <c r="S50" s="12"/>
      <c r="T50" s="22"/>
      <c r="U50" s="22"/>
      <c r="V50" s="14" t="s">
        <v>905</v>
      </c>
      <c r="W50" s="14" t="s">
        <v>909</v>
      </c>
      <c r="X50" s="209" t="s">
        <v>910</v>
      </c>
      <c r="Y50" s="209" t="s">
        <v>424</v>
      </c>
      <c r="Z50" s="28"/>
      <c r="AA50" s="28"/>
      <c r="AB50" s="28"/>
      <c r="AC50" s="28"/>
      <c r="AD50" s="30"/>
      <c r="AE50" s="31"/>
      <c r="AF50" s="31"/>
      <c r="AG50" s="32"/>
      <c r="AH50" s="33"/>
      <c r="AI50" s="33"/>
      <c r="AJ50" s="33"/>
      <c r="AK50" s="34"/>
      <c r="AL50" s="36"/>
      <c r="AM50" s="36"/>
      <c r="AN50" s="36"/>
      <c r="AO50" s="32"/>
      <c r="AP50" s="40">
        <v>40000</v>
      </c>
      <c r="AQ50" s="41">
        <v>46095</v>
      </c>
      <c r="AR50" s="43">
        <v>75394</v>
      </c>
      <c r="AS50" s="40"/>
      <c r="AT50" s="46" t="s">
        <v>911</v>
      </c>
    </row>
    <row r="51" ht="34" spans="1:46">
      <c r="A51" s="11">
        <v>34</v>
      </c>
      <c r="B51" s="180" t="s">
        <v>912</v>
      </c>
      <c r="C51" s="181" t="s">
        <v>84</v>
      </c>
      <c r="D51" s="182" t="s">
        <v>599</v>
      </c>
      <c r="E51" s="190">
        <v>46097</v>
      </c>
      <c r="F51" s="180" t="s">
        <v>144</v>
      </c>
      <c r="G51" s="180" t="s">
        <v>86</v>
      </c>
      <c r="H51" s="180" t="s">
        <v>825</v>
      </c>
      <c r="I51" s="194" t="s">
        <v>826</v>
      </c>
      <c r="J51" s="195" t="s">
        <v>827</v>
      </c>
      <c r="K51" s="10" t="s">
        <v>122</v>
      </c>
      <c r="L51" s="11">
        <v>1</v>
      </c>
      <c r="M51" s="11">
        <v>31</v>
      </c>
      <c r="N51" s="18">
        <v>26997</v>
      </c>
      <c r="O51" s="203"/>
      <c r="P51" s="18"/>
      <c r="Q51" s="10"/>
      <c r="R51" s="21">
        <v>1</v>
      </c>
      <c r="S51" s="12"/>
      <c r="T51" s="22"/>
      <c r="U51" s="22"/>
      <c r="V51" s="14" t="s">
        <v>371</v>
      </c>
      <c r="W51" s="14" t="s">
        <v>201</v>
      </c>
      <c r="X51" s="209" t="s">
        <v>871</v>
      </c>
      <c r="Y51" s="209" t="s">
        <v>913</v>
      </c>
      <c r="Z51" s="28"/>
      <c r="AA51" s="28"/>
      <c r="AB51" s="28"/>
      <c r="AC51" s="28"/>
      <c r="AD51" s="30"/>
      <c r="AE51" s="31"/>
      <c r="AF51" s="31"/>
      <c r="AG51" s="32"/>
      <c r="AH51" s="33"/>
      <c r="AI51" s="33"/>
      <c r="AJ51" s="33"/>
      <c r="AK51" s="34"/>
      <c r="AL51" s="36"/>
      <c r="AM51" s="36"/>
      <c r="AN51" s="36"/>
      <c r="AO51" s="32"/>
      <c r="AP51" s="40"/>
      <c r="AQ51" s="41"/>
      <c r="AR51" s="43"/>
      <c r="AS51" s="40"/>
      <c r="AT51" s="46"/>
    </row>
    <row r="52" ht="31.5" customHeight="1" spans="1:46">
      <c r="A52" s="11">
        <v>35</v>
      </c>
      <c r="B52" s="180" t="s">
        <v>914</v>
      </c>
      <c r="C52" s="181" t="s">
        <v>84</v>
      </c>
      <c r="D52" s="182" t="s">
        <v>599</v>
      </c>
      <c r="E52" s="190">
        <v>46096</v>
      </c>
      <c r="F52" s="180" t="s">
        <v>915</v>
      </c>
      <c r="G52" s="180" t="s">
        <v>50</v>
      </c>
      <c r="H52" s="180" t="s">
        <v>916</v>
      </c>
      <c r="I52" s="199">
        <v>766646406</v>
      </c>
      <c r="J52" s="195" t="s">
        <v>917</v>
      </c>
      <c r="K52" s="10" t="s">
        <v>649</v>
      </c>
      <c r="L52" s="11">
        <v>1</v>
      </c>
      <c r="M52" s="11"/>
      <c r="N52" s="18">
        <v>100000</v>
      </c>
      <c r="O52" s="203"/>
      <c r="P52" s="18"/>
      <c r="Q52" s="10" t="s">
        <v>918</v>
      </c>
      <c r="R52" s="21">
        <v>1</v>
      </c>
      <c r="S52" s="12"/>
      <c r="T52" s="22"/>
      <c r="U52" s="22"/>
      <c r="V52" s="14"/>
      <c r="W52" s="14"/>
      <c r="X52" s="209"/>
      <c r="Y52" s="209"/>
      <c r="Z52" s="28"/>
      <c r="AA52" s="28"/>
      <c r="AB52" s="28"/>
      <c r="AC52" s="28"/>
      <c r="AD52" s="30"/>
      <c r="AE52" s="31"/>
      <c r="AF52" s="31"/>
      <c r="AG52" s="32"/>
      <c r="AH52" s="33"/>
      <c r="AI52" s="33"/>
      <c r="AJ52" s="33"/>
      <c r="AK52" s="34"/>
      <c r="AL52" s="36"/>
      <c r="AM52" s="36"/>
      <c r="AN52" s="36"/>
      <c r="AO52" s="32"/>
      <c r="AP52" s="40">
        <v>100000</v>
      </c>
      <c r="AQ52" s="41" t="s">
        <v>919</v>
      </c>
      <c r="AR52" s="43"/>
      <c r="AS52" s="40"/>
      <c r="AT52" s="46"/>
    </row>
    <row r="53" ht="39" customHeight="1" spans="1:46">
      <c r="A53" s="11"/>
      <c r="B53" s="180" t="s">
        <v>920</v>
      </c>
      <c r="C53" s="181" t="s">
        <v>84</v>
      </c>
      <c r="D53" s="182" t="s">
        <v>599</v>
      </c>
      <c r="E53" s="190">
        <v>46096</v>
      </c>
      <c r="F53" s="180"/>
      <c r="G53" s="180" t="s">
        <v>50</v>
      </c>
      <c r="H53" s="180"/>
      <c r="I53" s="200"/>
      <c r="J53" s="195"/>
      <c r="K53" s="10"/>
      <c r="L53" s="11"/>
      <c r="M53" s="11"/>
      <c r="N53" s="18">
        <v>131500</v>
      </c>
      <c r="O53" s="203"/>
      <c r="P53" s="18"/>
      <c r="Q53" s="10"/>
      <c r="R53" s="21"/>
      <c r="S53" s="12"/>
      <c r="T53" s="22"/>
      <c r="U53" s="22"/>
      <c r="V53" s="14"/>
      <c r="W53" s="14"/>
      <c r="X53" s="209"/>
      <c r="Y53" s="209"/>
      <c r="Z53" s="28"/>
      <c r="AA53" s="28"/>
      <c r="AB53" s="28"/>
      <c r="AC53" s="28"/>
      <c r="AD53" s="30"/>
      <c r="AE53" s="31"/>
      <c r="AF53" s="31"/>
      <c r="AG53" s="32"/>
      <c r="AH53" s="33"/>
      <c r="AI53" s="33"/>
      <c r="AJ53" s="33"/>
      <c r="AK53" s="34"/>
      <c r="AL53" s="36"/>
      <c r="AM53" s="36"/>
      <c r="AN53" s="36"/>
      <c r="AO53" s="32"/>
      <c r="AP53" s="40"/>
      <c r="AQ53" s="41"/>
      <c r="AR53" s="43"/>
      <c r="AS53" s="40"/>
      <c r="AT53" s="46"/>
    </row>
    <row r="54" ht="34" spans="1:46">
      <c r="A54" s="11">
        <v>36</v>
      </c>
      <c r="B54" s="180" t="s">
        <v>921</v>
      </c>
      <c r="C54" s="181" t="s">
        <v>84</v>
      </c>
      <c r="D54" s="182" t="s">
        <v>599</v>
      </c>
      <c r="E54" s="190">
        <v>46098</v>
      </c>
      <c r="F54" s="180" t="s">
        <v>144</v>
      </c>
      <c r="G54" s="180" t="s">
        <v>86</v>
      </c>
      <c r="H54" s="180" t="s">
        <v>825</v>
      </c>
      <c r="I54" s="194" t="s">
        <v>826</v>
      </c>
      <c r="J54" s="195" t="s">
        <v>922</v>
      </c>
      <c r="K54" s="10" t="s">
        <v>122</v>
      </c>
      <c r="L54" s="11">
        <v>1</v>
      </c>
      <c r="M54" s="11">
        <v>31.5</v>
      </c>
      <c r="N54" s="18">
        <v>28222</v>
      </c>
      <c r="O54" s="203"/>
      <c r="P54" s="18"/>
      <c r="Q54" s="10"/>
      <c r="R54" s="21">
        <v>1</v>
      </c>
      <c r="S54" s="12" t="s">
        <v>123</v>
      </c>
      <c r="T54" s="22" t="s">
        <v>243</v>
      </c>
      <c r="U54" s="22"/>
      <c r="V54" s="14" t="s">
        <v>371</v>
      </c>
      <c r="W54" s="14" t="s">
        <v>923</v>
      </c>
      <c r="X54" s="209" t="s">
        <v>924</v>
      </c>
      <c r="Y54" s="209" t="s">
        <v>925</v>
      </c>
      <c r="Z54" s="28"/>
      <c r="AA54" s="28"/>
      <c r="AB54" s="28"/>
      <c r="AC54" s="28"/>
      <c r="AD54" s="30"/>
      <c r="AE54" s="31"/>
      <c r="AF54" s="31"/>
      <c r="AG54" s="32"/>
      <c r="AH54" s="33"/>
      <c r="AI54" s="33"/>
      <c r="AJ54" s="33"/>
      <c r="AK54" s="34"/>
      <c r="AL54" s="36"/>
      <c r="AM54" s="36"/>
      <c r="AN54" s="36"/>
      <c r="AO54" s="32"/>
      <c r="AP54" s="40"/>
      <c r="AQ54" s="41"/>
      <c r="AR54" s="43"/>
      <c r="AS54" s="40"/>
      <c r="AT54" s="46"/>
    </row>
    <row r="55" ht="51" spans="1:46">
      <c r="A55" s="11">
        <v>37</v>
      </c>
      <c r="B55" s="180" t="s">
        <v>926</v>
      </c>
      <c r="C55" s="181" t="s">
        <v>60</v>
      </c>
      <c r="D55" s="182" t="s">
        <v>599</v>
      </c>
      <c r="E55" s="10" t="s">
        <v>927</v>
      </c>
      <c r="F55" s="180" t="s">
        <v>928</v>
      </c>
      <c r="G55" s="180" t="s">
        <v>86</v>
      </c>
      <c r="H55" s="180" t="s">
        <v>929</v>
      </c>
      <c r="I55" s="194">
        <v>743700835</v>
      </c>
      <c r="J55" s="195" t="s">
        <v>930</v>
      </c>
      <c r="K55" s="10" t="s">
        <v>90</v>
      </c>
      <c r="L55" s="11">
        <v>3</v>
      </c>
      <c r="M55" s="11">
        <v>4.5</v>
      </c>
      <c r="N55" s="18">
        <v>18000</v>
      </c>
      <c r="O55" s="203"/>
      <c r="P55" s="18"/>
      <c r="Q55" s="10" t="s">
        <v>931</v>
      </c>
      <c r="R55" s="21"/>
      <c r="S55" s="12"/>
      <c r="T55" s="22"/>
      <c r="U55" s="22"/>
      <c r="V55" s="14" t="s">
        <v>932</v>
      </c>
      <c r="W55" s="14" t="s">
        <v>933</v>
      </c>
      <c r="X55" s="25">
        <v>0.354166666666667</v>
      </c>
      <c r="Y55" s="25">
        <v>0.520833333333333</v>
      </c>
      <c r="Z55" s="28"/>
      <c r="AA55" s="28"/>
      <c r="AB55" s="28"/>
      <c r="AC55" s="28"/>
      <c r="AD55" s="30"/>
      <c r="AE55" s="31"/>
      <c r="AF55" s="31"/>
      <c r="AG55" s="32"/>
      <c r="AH55" s="33"/>
      <c r="AI55" s="33"/>
      <c r="AJ55" s="33"/>
      <c r="AK55" s="34"/>
      <c r="AL55" s="36"/>
      <c r="AM55" s="36"/>
      <c r="AN55" s="36"/>
      <c r="AO55" s="32"/>
      <c r="AP55" s="40">
        <v>0</v>
      </c>
      <c r="AQ55" s="41"/>
      <c r="AR55" s="43">
        <f>AP55-(N55+AE55+AF55)</f>
        <v>-18000</v>
      </c>
      <c r="AS55" s="40"/>
      <c r="AT55" s="46"/>
    </row>
    <row r="56" ht="34" spans="1:46">
      <c r="A56" s="11">
        <v>38</v>
      </c>
      <c r="B56" s="180" t="s">
        <v>934</v>
      </c>
      <c r="C56" s="181" t="s">
        <v>84</v>
      </c>
      <c r="D56" s="182" t="s">
        <v>599</v>
      </c>
      <c r="E56" s="10" t="s">
        <v>927</v>
      </c>
      <c r="F56" s="180" t="s">
        <v>144</v>
      </c>
      <c r="G56" s="180" t="s">
        <v>86</v>
      </c>
      <c r="H56" s="180" t="s">
        <v>825</v>
      </c>
      <c r="I56" s="194" t="s">
        <v>935</v>
      </c>
      <c r="J56" s="195" t="s">
        <v>922</v>
      </c>
      <c r="K56" s="10" t="s">
        <v>122</v>
      </c>
      <c r="L56" s="11">
        <v>1</v>
      </c>
      <c r="M56" s="11">
        <v>31.5</v>
      </c>
      <c r="N56" s="18">
        <v>28222</v>
      </c>
      <c r="O56" s="203"/>
      <c r="P56" s="18"/>
      <c r="Q56" s="10"/>
      <c r="R56" s="21">
        <v>1</v>
      </c>
      <c r="S56" s="12" t="s">
        <v>123</v>
      </c>
      <c r="T56" s="22" t="s">
        <v>243</v>
      </c>
      <c r="U56" s="22"/>
      <c r="V56" s="14" t="s">
        <v>371</v>
      </c>
      <c r="W56" s="14" t="s">
        <v>923</v>
      </c>
      <c r="X56" s="209" t="s">
        <v>924</v>
      </c>
      <c r="Y56" s="209" t="s">
        <v>936</v>
      </c>
      <c r="Z56" s="28"/>
      <c r="AA56" s="28"/>
      <c r="AB56" s="28"/>
      <c r="AC56" s="28"/>
      <c r="AD56" s="30"/>
      <c r="AE56" s="31"/>
      <c r="AF56" s="31"/>
      <c r="AG56" s="32"/>
      <c r="AH56" s="33"/>
      <c r="AI56" s="33"/>
      <c r="AJ56" s="33"/>
      <c r="AK56" s="34"/>
      <c r="AL56" s="36"/>
      <c r="AM56" s="36"/>
      <c r="AN56" s="36"/>
      <c r="AO56" s="32"/>
      <c r="AP56" s="40"/>
      <c r="AQ56" s="41"/>
      <c r="AR56" s="43"/>
      <c r="AS56" s="40"/>
      <c r="AT56" s="46"/>
    </row>
    <row r="57" ht="34.5" customHeight="1" spans="1:46">
      <c r="A57" s="11"/>
      <c r="B57" s="180" t="s">
        <v>937</v>
      </c>
      <c r="C57" s="181" t="s">
        <v>84</v>
      </c>
      <c r="D57" s="182" t="s">
        <v>599</v>
      </c>
      <c r="E57" s="190">
        <v>46099</v>
      </c>
      <c r="F57" s="180" t="s">
        <v>938</v>
      </c>
      <c r="G57" s="180" t="s">
        <v>50</v>
      </c>
      <c r="H57" s="191" t="s">
        <v>939</v>
      </c>
      <c r="I57" s="324" t="s">
        <v>940</v>
      </c>
      <c r="J57" s="195" t="s">
        <v>941</v>
      </c>
      <c r="K57" s="10" t="s">
        <v>649</v>
      </c>
      <c r="L57" s="11">
        <v>3</v>
      </c>
      <c r="M57" s="11">
        <v>60.1</v>
      </c>
      <c r="N57" s="18">
        <v>144000</v>
      </c>
      <c r="O57" s="203"/>
      <c r="P57" s="18"/>
      <c r="Q57" s="10"/>
      <c r="R57" s="21">
        <v>1</v>
      </c>
      <c r="S57" s="12" t="s">
        <v>942</v>
      </c>
      <c r="T57" s="22" t="s">
        <v>943</v>
      </c>
      <c r="U57" s="22"/>
      <c r="V57" s="14" t="s">
        <v>944</v>
      </c>
      <c r="W57" s="14" t="s">
        <v>945</v>
      </c>
      <c r="X57" s="209" t="s">
        <v>685</v>
      </c>
      <c r="Y57" s="209"/>
      <c r="Z57" s="28"/>
      <c r="AA57" s="28"/>
      <c r="AB57" s="28"/>
      <c r="AC57" s="28"/>
      <c r="AD57" s="30"/>
      <c r="AE57" s="31"/>
      <c r="AF57" s="31"/>
      <c r="AG57" s="32"/>
      <c r="AH57" s="33"/>
      <c r="AI57" s="33"/>
      <c r="AJ57" s="33"/>
      <c r="AK57" s="34"/>
      <c r="AL57" s="36"/>
      <c r="AM57" s="36"/>
      <c r="AN57" s="36"/>
      <c r="AO57" s="32"/>
      <c r="AP57" s="40"/>
      <c r="AQ57" s="41"/>
      <c r="AR57" s="43"/>
      <c r="AS57" s="40"/>
      <c r="AT57" s="46"/>
    </row>
    <row r="58" ht="34.5" customHeight="1" spans="1:46">
      <c r="A58" s="11">
        <v>39</v>
      </c>
      <c r="B58" s="180" t="s">
        <v>937</v>
      </c>
      <c r="C58" s="181" t="s">
        <v>84</v>
      </c>
      <c r="D58" s="182" t="s">
        <v>599</v>
      </c>
      <c r="E58" s="190">
        <v>46100</v>
      </c>
      <c r="F58" s="180" t="s">
        <v>946</v>
      </c>
      <c r="G58" s="180" t="s">
        <v>50</v>
      </c>
      <c r="H58" s="192" t="s">
        <v>947</v>
      </c>
      <c r="I58" s="192" t="s">
        <v>948</v>
      </c>
      <c r="J58" s="195" t="s">
        <v>941</v>
      </c>
      <c r="K58" s="10" t="s">
        <v>649</v>
      </c>
      <c r="L58" s="11">
        <v>3</v>
      </c>
      <c r="M58" s="11">
        <v>60.1</v>
      </c>
      <c r="N58" s="18">
        <v>144000</v>
      </c>
      <c r="O58" s="203"/>
      <c r="P58" s="18"/>
      <c r="Q58" s="10"/>
      <c r="R58" s="21">
        <v>1</v>
      </c>
      <c r="S58" s="12" t="s">
        <v>942</v>
      </c>
      <c r="T58" s="22" t="s">
        <v>943</v>
      </c>
      <c r="U58" s="22"/>
      <c r="V58" s="14" t="s">
        <v>944</v>
      </c>
      <c r="W58" s="14" t="s">
        <v>945</v>
      </c>
      <c r="X58" s="209" t="s">
        <v>685</v>
      </c>
      <c r="Y58" s="209"/>
      <c r="Z58" s="28"/>
      <c r="AA58" s="28"/>
      <c r="AB58" s="28"/>
      <c r="AC58" s="28"/>
      <c r="AD58" s="30"/>
      <c r="AE58" s="31"/>
      <c r="AF58" s="31"/>
      <c r="AG58" s="32"/>
      <c r="AH58" s="33"/>
      <c r="AI58" s="33"/>
      <c r="AJ58" s="33"/>
      <c r="AK58" s="34"/>
      <c r="AL58" s="36"/>
      <c r="AM58" s="36"/>
      <c r="AN58" s="36"/>
      <c r="AO58" s="32"/>
      <c r="AP58" s="40"/>
      <c r="AQ58" s="41"/>
      <c r="AR58" s="43"/>
      <c r="AS58" s="40"/>
      <c r="AT58" s="46"/>
    </row>
    <row r="59" ht="51" spans="1:46">
      <c r="A59" s="11">
        <v>41</v>
      </c>
      <c r="B59" s="180" t="s">
        <v>949</v>
      </c>
      <c r="C59" s="181" t="s">
        <v>47</v>
      </c>
      <c r="D59" s="182" t="s">
        <v>599</v>
      </c>
      <c r="E59" s="10" t="s">
        <v>950</v>
      </c>
      <c r="F59" s="180" t="s">
        <v>928</v>
      </c>
      <c r="G59" s="180" t="s">
        <v>86</v>
      </c>
      <c r="H59" s="180" t="s">
        <v>929</v>
      </c>
      <c r="I59" s="197">
        <v>743700835</v>
      </c>
      <c r="J59" s="195" t="s">
        <v>930</v>
      </c>
      <c r="K59" s="10" t="s">
        <v>90</v>
      </c>
      <c r="L59" s="11">
        <v>3</v>
      </c>
      <c r="M59" s="11">
        <v>4.5</v>
      </c>
      <c r="N59" s="18">
        <v>18000</v>
      </c>
      <c r="O59" s="203"/>
      <c r="P59" s="18"/>
      <c r="Q59" s="10" t="s">
        <v>931</v>
      </c>
      <c r="R59" s="21"/>
      <c r="S59" s="12"/>
      <c r="T59" s="22"/>
      <c r="U59" s="22"/>
      <c r="V59" s="14" t="s">
        <v>932</v>
      </c>
      <c r="W59" s="14" t="s">
        <v>933</v>
      </c>
      <c r="X59" s="25">
        <v>0.354166666666667</v>
      </c>
      <c r="Y59" s="25">
        <v>0.520833333333333</v>
      </c>
      <c r="Z59" s="28"/>
      <c r="AA59" s="28"/>
      <c r="AB59" s="28"/>
      <c r="AC59" s="28"/>
      <c r="AD59" s="30"/>
      <c r="AE59" s="31"/>
      <c r="AF59" s="31"/>
      <c r="AG59" s="32"/>
      <c r="AH59" s="33"/>
      <c r="AI59" s="33"/>
      <c r="AJ59" s="33"/>
      <c r="AK59" s="34"/>
      <c r="AL59" s="36"/>
      <c r="AM59" s="36"/>
      <c r="AN59" s="36"/>
      <c r="AO59" s="32"/>
      <c r="AP59" s="40">
        <v>0</v>
      </c>
      <c r="AQ59" s="41"/>
      <c r="AR59" s="43">
        <f>AP59-(N59+AE59+AF59)</f>
        <v>-18000</v>
      </c>
      <c r="AS59" s="40"/>
      <c r="AT59" s="46"/>
    </row>
    <row r="60" ht="51" spans="1:46">
      <c r="A60" s="11">
        <v>42</v>
      </c>
      <c r="B60" s="180" t="s">
        <v>951</v>
      </c>
      <c r="C60" s="181" t="s">
        <v>84</v>
      </c>
      <c r="D60" s="182" t="s">
        <v>599</v>
      </c>
      <c r="E60" s="10" t="s">
        <v>950</v>
      </c>
      <c r="F60" s="180" t="s">
        <v>952</v>
      </c>
      <c r="G60" s="180" t="s">
        <v>86</v>
      </c>
      <c r="H60" s="180" t="s">
        <v>953</v>
      </c>
      <c r="I60" s="194" t="s">
        <v>954</v>
      </c>
      <c r="J60" s="195" t="s">
        <v>955</v>
      </c>
      <c r="K60" s="10" t="s">
        <v>90</v>
      </c>
      <c r="L60" s="11">
        <v>2</v>
      </c>
      <c r="M60" s="11">
        <v>20.7</v>
      </c>
      <c r="N60" s="18">
        <v>48049</v>
      </c>
      <c r="O60" s="203"/>
      <c r="P60" s="18"/>
      <c r="Q60" s="10"/>
      <c r="R60" s="21">
        <v>1</v>
      </c>
      <c r="S60" s="12"/>
      <c r="T60" s="22"/>
      <c r="U60" s="22"/>
      <c r="V60" s="14" t="s">
        <v>956</v>
      </c>
      <c r="W60" s="14" t="s">
        <v>956</v>
      </c>
      <c r="X60" s="25">
        <v>0.333333333333333</v>
      </c>
      <c r="Y60" s="25">
        <v>0.5</v>
      </c>
      <c r="Z60" s="28"/>
      <c r="AA60" s="28"/>
      <c r="AB60" s="28"/>
      <c r="AC60" s="28"/>
      <c r="AD60" s="30"/>
      <c r="AE60" s="31"/>
      <c r="AF60" s="31"/>
      <c r="AG60" s="32"/>
      <c r="AH60" s="33"/>
      <c r="AI60" s="33"/>
      <c r="AJ60" s="33"/>
      <c r="AK60" s="34"/>
      <c r="AL60" s="36"/>
      <c r="AM60" s="36"/>
      <c r="AN60" s="36"/>
      <c r="AO60" s="32"/>
      <c r="AP60" s="40"/>
      <c r="AQ60" s="41"/>
      <c r="AR60" s="221"/>
      <c r="AS60" s="40"/>
      <c r="AT60" s="46"/>
    </row>
    <row r="61" ht="34" spans="1:46">
      <c r="A61" s="11">
        <v>48</v>
      </c>
      <c r="B61" s="180" t="s">
        <v>957</v>
      </c>
      <c r="C61" s="181" t="s">
        <v>47</v>
      </c>
      <c r="D61" s="182" t="s">
        <v>599</v>
      </c>
      <c r="E61" s="10" t="s">
        <v>950</v>
      </c>
      <c r="F61" s="180" t="s">
        <v>814</v>
      </c>
      <c r="G61" s="180" t="s">
        <v>86</v>
      </c>
      <c r="H61" s="180"/>
      <c r="I61" s="194" t="s">
        <v>816</v>
      </c>
      <c r="J61" s="195" t="s">
        <v>958</v>
      </c>
      <c r="K61" s="10" t="s">
        <v>90</v>
      </c>
      <c r="L61" s="11">
        <v>1</v>
      </c>
      <c r="M61" s="11">
        <v>3.8</v>
      </c>
      <c r="N61" s="18">
        <v>10310</v>
      </c>
      <c r="O61" s="203"/>
      <c r="P61" s="18"/>
      <c r="Q61" s="10"/>
      <c r="R61" s="21">
        <v>1</v>
      </c>
      <c r="S61" s="12"/>
      <c r="T61" s="22"/>
      <c r="U61" s="22"/>
      <c r="V61" s="14" t="s">
        <v>819</v>
      </c>
      <c r="W61" s="14" t="s">
        <v>959</v>
      </c>
      <c r="X61" s="209" t="s">
        <v>677</v>
      </c>
      <c r="Y61" s="209" t="s">
        <v>678</v>
      </c>
      <c r="Z61" s="28"/>
      <c r="AA61" s="28"/>
      <c r="AB61" s="28"/>
      <c r="AC61" s="28"/>
      <c r="AD61" s="30"/>
      <c r="AE61" s="31"/>
      <c r="AF61" s="31"/>
      <c r="AG61" s="32"/>
      <c r="AH61" s="33"/>
      <c r="AI61" s="33"/>
      <c r="AJ61" s="33"/>
      <c r="AK61" s="34"/>
      <c r="AL61" s="36"/>
      <c r="AM61" s="36"/>
      <c r="AN61" s="36"/>
      <c r="AO61" s="32"/>
      <c r="AP61" s="40"/>
      <c r="AQ61" s="41"/>
      <c r="AR61" s="221"/>
      <c r="AS61" s="40"/>
      <c r="AT61" s="46"/>
    </row>
    <row r="62" s="170" customFormat="1" ht="65" customHeight="1" spans="1:46">
      <c r="A62" s="11"/>
      <c r="B62" s="3" t="s">
        <v>960</v>
      </c>
      <c r="C62" s="186" t="s">
        <v>84</v>
      </c>
      <c r="D62" s="182" t="s">
        <v>599</v>
      </c>
      <c r="E62" s="56" t="s">
        <v>961</v>
      </c>
      <c r="F62" s="3" t="s">
        <v>962</v>
      </c>
      <c r="G62" s="3" t="s">
        <v>50</v>
      </c>
      <c r="H62" s="3" t="s">
        <v>963</v>
      </c>
      <c r="I62" s="319" t="s">
        <v>964</v>
      </c>
      <c r="J62" s="9" t="s">
        <v>965</v>
      </c>
      <c r="K62" s="57" t="s">
        <v>966</v>
      </c>
      <c r="L62" s="11">
        <v>1</v>
      </c>
      <c r="M62" s="11">
        <v>989.3</v>
      </c>
      <c r="N62" s="18">
        <v>500000</v>
      </c>
      <c r="O62" s="203"/>
      <c r="P62" s="18"/>
      <c r="Q62" s="57"/>
      <c r="R62" s="11">
        <v>4</v>
      </c>
      <c r="S62" s="207"/>
      <c r="T62" s="208"/>
      <c r="U62" s="208"/>
      <c r="V62" s="205"/>
      <c r="W62" s="205"/>
      <c r="X62" s="211"/>
      <c r="Y62" s="211"/>
      <c r="Z62" s="215"/>
      <c r="AA62" s="215"/>
      <c r="AB62" s="215"/>
      <c r="AC62" s="215"/>
      <c r="AD62" s="216"/>
      <c r="AE62" s="217"/>
      <c r="AF62" s="217"/>
      <c r="AG62" s="218"/>
      <c r="AH62" s="219"/>
      <c r="AI62" s="219"/>
      <c r="AJ62" s="219"/>
      <c r="AK62" s="220"/>
      <c r="AL62" s="5"/>
      <c r="AM62" s="5"/>
      <c r="AN62" s="5"/>
      <c r="AO62" s="218"/>
      <c r="AP62" s="223">
        <v>500000</v>
      </c>
      <c r="AQ62" s="224" t="s">
        <v>510</v>
      </c>
      <c r="AR62" s="225"/>
      <c r="AS62" s="223"/>
      <c r="AT62" s="231" t="s">
        <v>116</v>
      </c>
    </row>
    <row r="63" ht="51" spans="1:46">
      <c r="A63" s="11">
        <v>43</v>
      </c>
      <c r="B63" s="180" t="s">
        <v>967</v>
      </c>
      <c r="C63" s="181" t="s">
        <v>84</v>
      </c>
      <c r="D63" s="182" t="s">
        <v>599</v>
      </c>
      <c r="E63" s="10" t="s">
        <v>968</v>
      </c>
      <c r="F63" s="180" t="s">
        <v>952</v>
      </c>
      <c r="G63" s="180" t="s">
        <v>86</v>
      </c>
      <c r="H63" s="180" t="s">
        <v>953</v>
      </c>
      <c r="I63" s="194" t="s">
        <v>954</v>
      </c>
      <c r="J63" s="195" t="s">
        <v>955</v>
      </c>
      <c r="K63" s="10" t="s">
        <v>90</v>
      </c>
      <c r="L63" s="11">
        <v>2</v>
      </c>
      <c r="M63" s="11">
        <v>20.7</v>
      </c>
      <c r="N63" s="18">
        <v>48049</v>
      </c>
      <c r="O63" s="203"/>
      <c r="P63" s="18"/>
      <c r="Q63" s="10"/>
      <c r="R63" s="21">
        <v>1</v>
      </c>
      <c r="S63" s="12"/>
      <c r="T63" s="22"/>
      <c r="U63" s="22"/>
      <c r="V63" s="14" t="s">
        <v>956</v>
      </c>
      <c r="W63" s="14" t="s">
        <v>956</v>
      </c>
      <c r="X63" s="25">
        <v>0.333333333333333</v>
      </c>
      <c r="Y63" s="25">
        <v>0.5</v>
      </c>
      <c r="Z63" s="28"/>
      <c r="AA63" s="28"/>
      <c r="AB63" s="28"/>
      <c r="AC63" s="28"/>
      <c r="AD63" s="30"/>
      <c r="AE63" s="31"/>
      <c r="AF63" s="31"/>
      <c r="AG63" s="32"/>
      <c r="AH63" s="33"/>
      <c r="AI63" s="33"/>
      <c r="AJ63" s="33"/>
      <c r="AK63" s="34"/>
      <c r="AL63" s="36"/>
      <c r="AM63" s="36"/>
      <c r="AN63" s="36"/>
      <c r="AO63" s="32"/>
      <c r="AP63" s="40"/>
      <c r="AQ63" s="41"/>
      <c r="AR63" s="221"/>
      <c r="AS63" s="40"/>
      <c r="AT63" s="46"/>
    </row>
    <row r="64" s="78" customFormat="1" ht="101" spans="1:46">
      <c r="A64" s="11">
        <v>44</v>
      </c>
      <c r="B64" s="187" t="s">
        <v>969</v>
      </c>
      <c r="C64" s="52" t="s">
        <v>970</v>
      </c>
      <c r="D64" s="182" t="s">
        <v>599</v>
      </c>
      <c r="E64" s="10" t="s">
        <v>968</v>
      </c>
      <c r="F64" s="193" t="s">
        <v>971</v>
      </c>
      <c r="G64" s="193" t="s">
        <v>50</v>
      </c>
      <c r="H64" s="3" t="s">
        <v>972</v>
      </c>
      <c r="I64" s="198" t="s">
        <v>52</v>
      </c>
      <c r="J64" s="9" t="s">
        <v>973</v>
      </c>
      <c r="K64" s="10" t="s">
        <v>212</v>
      </c>
      <c r="L64" s="11">
        <v>8</v>
      </c>
      <c r="M64" s="11">
        <v>325.3</v>
      </c>
      <c r="N64" s="18">
        <v>1052188</v>
      </c>
      <c r="O64" s="203"/>
      <c r="P64" s="18"/>
      <c r="Q64" s="57" t="s">
        <v>974</v>
      </c>
      <c r="R64" s="11">
        <v>1</v>
      </c>
      <c r="S64" s="207" t="s">
        <v>975</v>
      </c>
      <c r="T64" s="208"/>
      <c r="U64" s="208"/>
      <c r="V64" s="14" t="s">
        <v>976</v>
      </c>
      <c r="W64" s="205" t="s">
        <v>977</v>
      </c>
      <c r="X64" s="211"/>
      <c r="Y64" s="211"/>
      <c r="Z64" s="215"/>
      <c r="AA64" s="215"/>
      <c r="AB64" s="215"/>
      <c r="AC64" s="215"/>
      <c r="AD64" s="216"/>
      <c r="AE64" s="217"/>
      <c r="AF64" s="217"/>
      <c r="AG64" s="218"/>
      <c r="AH64" s="219"/>
      <c r="AI64" s="219"/>
      <c r="AJ64" s="219"/>
      <c r="AK64" s="220"/>
      <c r="AL64" s="5"/>
      <c r="AM64" s="5"/>
      <c r="AN64" s="5"/>
      <c r="AO64" s="218"/>
      <c r="AP64" s="223">
        <v>200000</v>
      </c>
      <c r="AQ64" s="224">
        <v>46093</v>
      </c>
      <c r="AR64" s="225">
        <v>852188</v>
      </c>
      <c r="AS64" s="223"/>
      <c r="AT64" s="231"/>
    </row>
    <row r="65" s="78" customFormat="1" ht="101" spans="1:46">
      <c r="A65" s="11">
        <v>45</v>
      </c>
      <c r="B65" s="187" t="s">
        <v>978</v>
      </c>
      <c r="C65" s="52" t="s">
        <v>47</v>
      </c>
      <c r="D65" s="182" t="s">
        <v>599</v>
      </c>
      <c r="E65" s="10" t="s">
        <v>968</v>
      </c>
      <c r="F65" s="193" t="s">
        <v>979</v>
      </c>
      <c r="G65" s="193" t="s">
        <v>50</v>
      </c>
      <c r="H65" s="3" t="s">
        <v>980</v>
      </c>
      <c r="I65" s="180">
        <v>764310146</v>
      </c>
      <c r="J65" s="195" t="s">
        <v>981</v>
      </c>
      <c r="K65" s="10" t="s">
        <v>212</v>
      </c>
      <c r="L65" s="11">
        <v>8</v>
      </c>
      <c r="M65" s="11">
        <v>200</v>
      </c>
      <c r="N65" s="18">
        <v>812588</v>
      </c>
      <c r="O65" s="203"/>
      <c r="P65" s="18"/>
      <c r="Q65" s="10" t="s">
        <v>982</v>
      </c>
      <c r="R65" s="21"/>
      <c r="S65" s="12"/>
      <c r="T65" s="22"/>
      <c r="U65" s="22"/>
      <c r="V65" s="14" t="s">
        <v>976</v>
      </c>
      <c r="W65" s="14" t="s">
        <v>98</v>
      </c>
      <c r="X65" s="25">
        <v>0.8125</v>
      </c>
      <c r="Y65" s="25">
        <v>0.208333333333333</v>
      </c>
      <c r="Z65" s="28"/>
      <c r="AA65" s="28"/>
      <c r="AB65" s="28"/>
      <c r="AC65" s="28"/>
      <c r="AD65" s="30"/>
      <c r="AE65" s="31"/>
      <c r="AF65" s="31"/>
      <c r="AG65" s="32"/>
      <c r="AH65" s="33"/>
      <c r="AI65" s="33"/>
      <c r="AJ65" s="33"/>
      <c r="AK65" s="34"/>
      <c r="AL65" s="36"/>
      <c r="AM65" s="36"/>
      <c r="AN65" s="36"/>
      <c r="AO65" s="32"/>
      <c r="AP65" s="40">
        <v>406300</v>
      </c>
      <c r="AQ65" s="41">
        <v>46086</v>
      </c>
      <c r="AR65" s="222">
        <f>AP65-(N65+AE65+AF65)</f>
        <v>-406288</v>
      </c>
      <c r="AS65" s="40"/>
      <c r="AT65" s="46"/>
    </row>
    <row r="66" ht="68" spans="1:46">
      <c r="A66" s="11">
        <v>52</v>
      </c>
      <c r="B66" s="3" t="s">
        <v>983</v>
      </c>
      <c r="C66" s="186" t="s">
        <v>60</v>
      </c>
      <c r="D66" s="182" t="s">
        <v>599</v>
      </c>
      <c r="E66" s="10" t="s">
        <v>968</v>
      </c>
      <c r="F66" s="3" t="s">
        <v>85</v>
      </c>
      <c r="G66" s="3" t="s">
        <v>86</v>
      </c>
      <c r="H66" s="3" t="s">
        <v>984</v>
      </c>
      <c r="I66" s="198" t="s">
        <v>985</v>
      </c>
      <c r="J66" s="9" t="s">
        <v>986</v>
      </c>
      <c r="K66" s="10" t="s">
        <v>90</v>
      </c>
      <c r="L66" s="11">
        <v>1</v>
      </c>
      <c r="M66" s="11">
        <v>7</v>
      </c>
      <c r="N66" s="18">
        <v>10166</v>
      </c>
      <c r="O66" s="203"/>
      <c r="P66" s="18"/>
      <c r="Q66" s="57"/>
      <c r="R66" s="11">
        <v>1</v>
      </c>
      <c r="S66" s="207"/>
      <c r="T66" s="208"/>
      <c r="U66" s="208"/>
      <c r="V66" s="205" t="s">
        <v>728</v>
      </c>
      <c r="W66" s="205" t="s">
        <v>987</v>
      </c>
      <c r="X66" s="210" t="s">
        <v>677</v>
      </c>
      <c r="Y66" s="210" t="s">
        <v>678</v>
      </c>
      <c r="Z66" s="215"/>
      <c r="AA66" s="215"/>
      <c r="AB66" s="215"/>
      <c r="AC66" s="215"/>
      <c r="AD66" s="216"/>
      <c r="AE66" s="217"/>
      <c r="AF66" s="217"/>
      <c r="AG66" s="218"/>
      <c r="AH66" s="219"/>
      <c r="AI66" s="219"/>
      <c r="AJ66" s="219"/>
      <c r="AK66" s="220"/>
      <c r="AL66" s="5"/>
      <c r="AM66" s="5"/>
      <c r="AN66" s="5"/>
      <c r="AO66" s="218"/>
      <c r="AP66" s="223"/>
      <c r="AQ66" s="224"/>
      <c r="AR66" s="225"/>
      <c r="AS66" s="223"/>
      <c r="AT66" s="231"/>
    </row>
    <row r="67" ht="34" spans="1:46">
      <c r="A67" s="11">
        <v>53</v>
      </c>
      <c r="B67" s="3" t="s">
        <v>988</v>
      </c>
      <c r="C67" s="186" t="s">
        <v>60</v>
      </c>
      <c r="D67" s="182" t="s">
        <v>599</v>
      </c>
      <c r="E67" s="10" t="s">
        <v>968</v>
      </c>
      <c r="F67" s="3" t="s">
        <v>814</v>
      </c>
      <c r="G67" s="3" t="s">
        <v>86</v>
      </c>
      <c r="H67" s="3" t="s">
        <v>989</v>
      </c>
      <c r="I67" s="198" t="s">
        <v>816</v>
      </c>
      <c r="J67" s="9" t="s">
        <v>990</v>
      </c>
      <c r="K67" s="10" t="s">
        <v>90</v>
      </c>
      <c r="L67" s="11">
        <v>1</v>
      </c>
      <c r="M67" s="11">
        <v>5.9</v>
      </c>
      <c r="N67" s="18">
        <v>10705</v>
      </c>
      <c r="O67" s="203"/>
      <c r="P67" s="18"/>
      <c r="Q67" s="57"/>
      <c r="R67" s="11">
        <v>1</v>
      </c>
      <c r="S67" s="207"/>
      <c r="T67" s="208"/>
      <c r="U67" s="208"/>
      <c r="V67" s="205" t="s">
        <v>819</v>
      </c>
      <c r="W67" s="205" t="s">
        <v>991</v>
      </c>
      <c r="X67" s="210" t="s">
        <v>677</v>
      </c>
      <c r="Y67" s="210" t="s">
        <v>992</v>
      </c>
      <c r="Z67" s="215"/>
      <c r="AA67" s="215"/>
      <c r="AB67" s="215"/>
      <c r="AC67" s="215"/>
      <c r="AD67" s="216"/>
      <c r="AE67" s="217"/>
      <c r="AF67" s="217"/>
      <c r="AG67" s="218"/>
      <c r="AH67" s="219"/>
      <c r="AI67" s="219"/>
      <c r="AJ67" s="219"/>
      <c r="AK67" s="220"/>
      <c r="AL67" s="5"/>
      <c r="AM67" s="5"/>
      <c r="AN67" s="5"/>
      <c r="AO67" s="218"/>
      <c r="AP67" s="223"/>
      <c r="AQ67" s="224"/>
      <c r="AR67" s="225"/>
      <c r="AS67" s="223"/>
      <c r="AT67" s="231"/>
    </row>
    <row r="68" ht="38.25" customHeight="1" spans="1:46">
      <c r="A68" s="11"/>
      <c r="B68" s="3" t="s">
        <v>993</v>
      </c>
      <c r="C68" s="184" t="s">
        <v>84</v>
      </c>
      <c r="D68" s="182" t="s">
        <v>599</v>
      </c>
      <c r="E68" s="190">
        <v>46102</v>
      </c>
      <c r="F68" s="3" t="s">
        <v>266</v>
      </c>
      <c r="G68" s="3" t="s">
        <v>50</v>
      </c>
      <c r="H68" s="3" t="s">
        <v>994</v>
      </c>
      <c r="I68" s="198" t="s">
        <v>995</v>
      </c>
      <c r="J68" s="9" t="s">
        <v>996</v>
      </c>
      <c r="K68" s="10" t="s">
        <v>649</v>
      </c>
      <c r="L68" s="11">
        <v>1</v>
      </c>
      <c r="M68" s="11">
        <v>120.8</v>
      </c>
      <c r="N68" s="18">
        <v>110000</v>
      </c>
      <c r="O68" s="203"/>
      <c r="P68" s="18"/>
      <c r="Q68" s="57"/>
      <c r="R68" s="11">
        <v>1</v>
      </c>
      <c r="S68" s="207" t="s">
        <v>997</v>
      </c>
      <c r="T68" s="208" t="s">
        <v>998</v>
      </c>
      <c r="U68" s="208" t="s">
        <v>414</v>
      </c>
      <c r="V68" s="251" t="s">
        <v>999</v>
      </c>
      <c r="W68" s="205" t="s">
        <v>1000</v>
      </c>
      <c r="X68" s="210" t="s">
        <v>1001</v>
      </c>
      <c r="Y68" s="210" t="s">
        <v>127</v>
      </c>
      <c r="Z68" s="215"/>
      <c r="AA68" s="215"/>
      <c r="AB68" s="215"/>
      <c r="AC68" s="215"/>
      <c r="AD68" s="216"/>
      <c r="AE68" s="217"/>
      <c r="AF68" s="217"/>
      <c r="AG68" s="218"/>
      <c r="AH68" s="219"/>
      <c r="AI68" s="219"/>
      <c r="AJ68" s="219"/>
      <c r="AK68" s="220"/>
      <c r="AL68" s="5"/>
      <c r="AM68" s="5"/>
      <c r="AN68" s="5"/>
      <c r="AO68" s="218"/>
      <c r="AP68" s="223">
        <v>60000</v>
      </c>
      <c r="AQ68" s="224" t="s">
        <v>324</v>
      </c>
      <c r="AR68" s="43">
        <f>AP68-(N68+AE68+AF68)</f>
        <v>-50000</v>
      </c>
      <c r="AS68" s="223"/>
      <c r="AT68" s="231" t="s">
        <v>1002</v>
      </c>
    </row>
    <row r="69" ht="38.25" customHeight="1" spans="1:46">
      <c r="A69" s="11">
        <v>46</v>
      </c>
      <c r="B69" s="3" t="s">
        <v>1003</v>
      </c>
      <c r="C69" s="184" t="s">
        <v>84</v>
      </c>
      <c r="D69" s="182" t="s">
        <v>599</v>
      </c>
      <c r="E69" s="10" t="s">
        <v>1004</v>
      </c>
      <c r="F69" s="3" t="s">
        <v>266</v>
      </c>
      <c r="G69" s="3" t="s">
        <v>50</v>
      </c>
      <c r="H69" s="3" t="s">
        <v>1005</v>
      </c>
      <c r="I69" s="198">
        <v>760902124</v>
      </c>
      <c r="J69" s="9" t="s">
        <v>1006</v>
      </c>
      <c r="K69" s="10" t="s">
        <v>649</v>
      </c>
      <c r="L69" s="11">
        <v>1</v>
      </c>
      <c r="M69" s="11">
        <v>401.6</v>
      </c>
      <c r="N69" s="18">
        <v>187147</v>
      </c>
      <c r="O69" s="203"/>
      <c r="P69" s="18"/>
      <c r="Q69" s="57"/>
      <c r="R69" s="11">
        <v>2</v>
      </c>
      <c r="S69" s="207" t="s">
        <v>1007</v>
      </c>
      <c r="T69" s="208" t="s">
        <v>243</v>
      </c>
      <c r="U69" s="208" t="s">
        <v>1008</v>
      </c>
      <c r="V69" s="251" t="s">
        <v>1006</v>
      </c>
      <c r="W69" s="205" t="s">
        <v>760</v>
      </c>
      <c r="X69" s="210" t="s">
        <v>1009</v>
      </c>
      <c r="Y69" s="210" t="s">
        <v>1010</v>
      </c>
      <c r="Z69" s="215"/>
      <c r="AA69" s="215"/>
      <c r="AB69" s="215"/>
      <c r="AC69" s="215"/>
      <c r="AD69" s="216"/>
      <c r="AE69" s="217"/>
      <c r="AF69" s="217"/>
      <c r="AG69" s="218"/>
      <c r="AH69" s="219"/>
      <c r="AI69" s="219"/>
      <c r="AJ69" s="219"/>
      <c r="AK69" s="220"/>
      <c r="AL69" s="5"/>
      <c r="AM69" s="5"/>
      <c r="AN69" s="5"/>
      <c r="AO69" s="218"/>
      <c r="AP69" s="223">
        <v>94000</v>
      </c>
      <c r="AQ69" s="224">
        <v>46087</v>
      </c>
      <c r="AR69" s="225">
        <f>AP69-(N69+AE69+AF69)</f>
        <v>-93147</v>
      </c>
      <c r="AS69" s="223"/>
      <c r="AT69" s="231" t="s">
        <v>116</v>
      </c>
    </row>
    <row r="70" ht="58.5" customHeight="1" spans="1:46">
      <c r="A70" s="11">
        <v>47</v>
      </c>
      <c r="B70" s="3" t="s">
        <v>1011</v>
      </c>
      <c r="C70" s="184" t="s">
        <v>84</v>
      </c>
      <c r="D70" s="182" t="s">
        <v>599</v>
      </c>
      <c r="E70" s="10" t="s">
        <v>1012</v>
      </c>
      <c r="F70" s="3" t="s">
        <v>118</v>
      </c>
      <c r="G70" s="3" t="s">
        <v>50</v>
      </c>
      <c r="H70" s="3" t="s">
        <v>1013</v>
      </c>
      <c r="I70" s="198">
        <v>785619527</v>
      </c>
      <c r="J70" s="9" t="s">
        <v>1014</v>
      </c>
      <c r="K70" s="10" t="s">
        <v>135</v>
      </c>
      <c r="L70" s="11">
        <v>1</v>
      </c>
      <c r="M70" s="11">
        <v>501.9</v>
      </c>
      <c r="N70" s="18">
        <v>218450</v>
      </c>
      <c r="O70" s="203"/>
      <c r="P70" s="18"/>
      <c r="Q70" s="57"/>
      <c r="R70" s="11">
        <v>2</v>
      </c>
      <c r="S70" s="207" t="s">
        <v>801</v>
      </c>
      <c r="T70" s="208" t="s">
        <v>1015</v>
      </c>
      <c r="U70" s="208" t="s">
        <v>1016</v>
      </c>
      <c r="V70" s="252" t="s">
        <v>1017</v>
      </c>
      <c r="W70" s="205" t="s">
        <v>1018</v>
      </c>
      <c r="X70" s="210" t="s">
        <v>68</v>
      </c>
      <c r="Y70" s="210" t="s">
        <v>1019</v>
      </c>
      <c r="Z70" s="215"/>
      <c r="AA70" s="215"/>
      <c r="AB70" s="215"/>
      <c r="AC70" s="215"/>
      <c r="AD70" s="216"/>
      <c r="AE70" s="217"/>
      <c r="AF70" s="217"/>
      <c r="AG70" s="218"/>
      <c r="AH70" s="219"/>
      <c r="AI70" s="219"/>
      <c r="AJ70" s="219"/>
      <c r="AK70" s="220"/>
      <c r="AL70" s="5"/>
      <c r="AM70" s="5"/>
      <c r="AN70" s="5"/>
      <c r="AO70" s="218"/>
      <c r="AP70" s="223">
        <v>120000</v>
      </c>
      <c r="AQ70" s="224">
        <v>46097</v>
      </c>
      <c r="AR70" s="225">
        <v>98500</v>
      </c>
      <c r="AS70" s="257">
        <v>46097</v>
      </c>
      <c r="AT70" s="231" t="s">
        <v>1002</v>
      </c>
    </row>
    <row r="71" ht="49" customHeight="1" spans="1:46">
      <c r="A71" s="11"/>
      <c r="B71" s="3" t="s">
        <v>1020</v>
      </c>
      <c r="C71" s="186" t="s">
        <v>84</v>
      </c>
      <c r="D71" s="182" t="s">
        <v>599</v>
      </c>
      <c r="E71" s="56" t="s">
        <v>1012</v>
      </c>
      <c r="F71" s="3" t="s">
        <v>1021</v>
      </c>
      <c r="G71" s="3" t="s">
        <v>50</v>
      </c>
      <c r="H71" s="3" t="s">
        <v>1022</v>
      </c>
      <c r="I71" s="319" t="s">
        <v>1023</v>
      </c>
      <c r="J71" s="9" t="s">
        <v>1024</v>
      </c>
      <c r="K71" s="10" t="s">
        <v>90</v>
      </c>
      <c r="L71" s="11">
        <v>3</v>
      </c>
      <c r="M71" s="11">
        <v>109</v>
      </c>
      <c r="N71" s="18">
        <v>162366</v>
      </c>
      <c r="O71" s="203"/>
      <c r="P71" s="18"/>
      <c r="Q71" s="57"/>
      <c r="R71" s="11">
        <v>2</v>
      </c>
      <c r="S71" s="207" t="s">
        <v>1025</v>
      </c>
      <c r="T71" s="208" t="s">
        <v>1026</v>
      </c>
      <c r="U71" s="208" t="s">
        <v>1027</v>
      </c>
      <c r="V71" s="253" t="s">
        <v>1028</v>
      </c>
      <c r="W71" s="205" t="s">
        <v>1029</v>
      </c>
      <c r="X71" s="211" t="s">
        <v>1030</v>
      </c>
      <c r="Y71" s="211" t="s">
        <v>1031</v>
      </c>
      <c r="Z71" s="215"/>
      <c r="AA71" s="215"/>
      <c r="AB71" s="215"/>
      <c r="AC71" s="215"/>
      <c r="AD71" s="216"/>
      <c r="AE71" s="217"/>
      <c r="AF71" s="217"/>
      <c r="AG71" s="218"/>
      <c r="AH71" s="219"/>
      <c r="AI71" s="219"/>
      <c r="AJ71" s="219"/>
      <c r="AK71" s="220"/>
      <c r="AL71" s="5"/>
      <c r="AM71" s="5"/>
      <c r="AN71" s="5"/>
      <c r="AO71" s="218"/>
      <c r="AP71" s="223">
        <v>162366</v>
      </c>
      <c r="AQ71" s="224" t="s">
        <v>556</v>
      </c>
      <c r="AR71" s="225"/>
      <c r="AS71" s="223"/>
      <c r="AT71" s="231" t="s">
        <v>116</v>
      </c>
    </row>
    <row r="72" s="78" customFormat="1" ht="43" customHeight="1" spans="1:46">
      <c r="A72" s="11"/>
      <c r="B72" s="3" t="s">
        <v>1032</v>
      </c>
      <c r="C72" s="55" t="s">
        <v>60</v>
      </c>
      <c r="D72" s="182" t="s">
        <v>599</v>
      </c>
      <c r="E72" s="56" t="s">
        <v>1004</v>
      </c>
      <c r="F72" s="3" t="s">
        <v>266</v>
      </c>
      <c r="G72" s="3" t="s">
        <v>50</v>
      </c>
      <c r="H72" s="3" t="s">
        <v>1033</v>
      </c>
      <c r="I72" s="319" t="s">
        <v>1034</v>
      </c>
      <c r="J72" s="9"/>
      <c r="K72" s="10"/>
      <c r="L72" s="11"/>
      <c r="M72" s="11"/>
      <c r="N72" s="18">
        <v>198141</v>
      </c>
      <c r="O72" s="203"/>
      <c r="P72" s="18"/>
      <c r="Q72" s="57"/>
      <c r="R72" s="11"/>
      <c r="S72" s="207"/>
      <c r="T72" s="208"/>
      <c r="U72" s="208"/>
      <c r="V72" s="253"/>
      <c r="W72" s="205"/>
      <c r="X72" s="211"/>
      <c r="Y72" s="211"/>
      <c r="Z72" s="215"/>
      <c r="AA72" s="215"/>
      <c r="AB72" s="215"/>
      <c r="AC72" s="215"/>
      <c r="AD72" s="216"/>
      <c r="AE72" s="217"/>
      <c r="AF72" s="217"/>
      <c r="AG72" s="218"/>
      <c r="AH72" s="219"/>
      <c r="AI72" s="219"/>
      <c r="AJ72" s="219"/>
      <c r="AK72" s="220"/>
      <c r="AL72" s="5"/>
      <c r="AM72" s="5"/>
      <c r="AN72" s="5"/>
      <c r="AO72" s="218"/>
      <c r="AP72" s="223"/>
      <c r="AQ72" s="224"/>
      <c r="AR72" s="225"/>
      <c r="AS72" s="223"/>
      <c r="AT72" s="231"/>
    </row>
    <row r="73" s="78" customFormat="1" ht="43" customHeight="1" spans="1:46">
      <c r="A73" s="11"/>
      <c r="B73" s="3">
        <v>1244</v>
      </c>
      <c r="C73" s="55" t="s">
        <v>60</v>
      </c>
      <c r="D73" s="182" t="s">
        <v>599</v>
      </c>
      <c r="E73" s="56">
        <v>46102</v>
      </c>
      <c r="F73" s="3" t="s">
        <v>266</v>
      </c>
      <c r="G73" s="3" t="s">
        <v>50</v>
      </c>
      <c r="H73" s="3" t="s">
        <v>1035</v>
      </c>
      <c r="I73" s="198"/>
      <c r="J73" s="9"/>
      <c r="K73" s="10"/>
      <c r="L73" s="11"/>
      <c r="M73" s="11"/>
      <c r="N73" s="18">
        <v>263197</v>
      </c>
      <c r="O73" s="203"/>
      <c r="P73" s="18"/>
      <c r="Q73" s="57"/>
      <c r="R73" s="11"/>
      <c r="S73" s="207"/>
      <c r="T73" s="208"/>
      <c r="U73" s="208"/>
      <c r="V73" s="253"/>
      <c r="W73" s="205"/>
      <c r="X73" s="211"/>
      <c r="Y73" s="211"/>
      <c r="Z73" s="215"/>
      <c r="AA73" s="215"/>
      <c r="AB73" s="215"/>
      <c r="AC73" s="215"/>
      <c r="AD73" s="216"/>
      <c r="AE73" s="217"/>
      <c r="AF73" s="217"/>
      <c r="AG73" s="218"/>
      <c r="AH73" s="219"/>
      <c r="AI73" s="219"/>
      <c r="AJ73" s="219"/>
      <c r="AK73" s="220"/>
      <c r="AL73" s="5"/>
      <c r="AM73" s="5"/>
      <c r="AN73" s="5"/>
      <c r="AO73" s="218"/>
      <c r="AP73" s="223"/>
      <c r="AQ73" s="224"/>
      <c r="AR73" s="225"/>
      <c r="AS73" s="223"/>
      <c r="AT73" s="231"/>
    </row>
    <row r="74" s="78" customFormat="1" ht="43" customHeight="1" spans="1:46">
      <c r="A74" s="11"/>
      <c r="B74" s="3">
        <v>1079</v>
      </c>
      <c r="C74" s="55" t="s">
        <v>60</v>
      </c>
      <c r="D74" s="182" t="s">
        <v>599</v>
      </c>
      <c r="E74" s="56">
        <v>46102</v>
      </c>
      <c r="F74" s="3"/>
      <c r="G74" s="3" t="s">
        <v>50</v>
      </c>
      <c r="H74" s="3" t="s">
        <v>1036</v>
      </c>
      <c r="I74" s="198"/>
      <c r="J74" s="9"/>
      <c r="K74" s="10"/>
      <c r="L74" s="11"/>
      <c r="M74" s="11"/>
      <c r="N74" s="18">
        <v>240110</v>
      </c>
      <c r="O74" s="203"/>
      <c r="P74" s="18"/>
      <c r="Q74" s="57"/>
      <c r="R74" s="11"/>
      <c r="S74" s="207"/>
      <c r="T74" s="208"/>
      <c r="U74" s="208"/>
      <c r="V74" s="253"/>
      <c r="W74" s="205"/>
      <c r="X74" s="211"/>
      <c r="Y74" s="211"/>
      <c r="Z74" s="215"/>
      <c r="AA74" s="215"/>
      <c r="AB74" s="215"/>
      <c r="AC74" s="215"/>
      <c r="AD74" s="216"/>
      <c r="AE74" s="217"/>
      <c r="AF74" s="217"/>
      <c r="AG74" s="218"/>
      <c r="AH74" s="219"/>
      <c r="AI74" s="219"/>
      <c r="AJ74" s="219"/>
      <c r="AK74" s="220"/>
      <c r="AL74" s="5"/>
      <c r="AM74" s="5"/>
      <c r="AN74" s="5"/>
      <c r="AO74" s="218"/>
      <c r="AP74" s="223"/>
      <c r="AQ74" s="224"/>
      <c r="AR74" s="225"/>
      <c r="AS74" s="223"/>
      <c r="AT74" s="231"/>
    </row>
    <row r="75" s="78" customFormat="1" ht="43" customHeight="1" spans="1:46">
      <c r="A75" s="11"/>
      <c r="B75" s="3">
        <v>1146</v>
      </c>
      <c r="C75" s="55" t="s">
        <v>60</v>
      </c>
      <c r="D75" s="182" t="s">
        <v>599</v>
      </c>
      <c r="E75" s="56" t="s">
        <v>1004</v>
      </c>
      <c r="F75" s="3" t="s">
        <v>266</v>
      </c>
      <c r="G75" s="3" t="s">
        <v>50</v>
      </c>
      <c r="H75" s="3" t="s">
        <v>1037</v>
      </c>
      <c r="I75" s="198"/>
      <c r="J75" s="9"/>
      <c r="K75" s="10"/>
      <c r="L75" s="11"/>
      <c r="M75" s="11"/>
      <c r="N75" s="18">
        <v>180657</v>
      </c>
      <c r="O75" s="203"/>
      <c r="P75" s="18"/>
      <c r="Q75" s="57"/>
      <c r="R75" s="11"/>
      <c r="S75" s="207"/>
      <c r="T75" s="208"/>
      <c r="U75" s="208"/>
      <c r="V75" s="253"/>
      <c r="W75" s="205"/>
      <c r="X75" s="211"/>
      <c r="Y75" s="211"/>
      <c r="Z75" s="215"/>
      <c r="AA75" s="215"/>
      <c r="AB75" s="215"/>
      <c r="AC75" s="215"/>
      <c r="AD75" s="216"/>
      <c r="AE75" s="217"/>
      <c r="AF75" s="217"/>
      <c r="AG75" s="218"/>
      <c r="AH75" s="219"/>
      <c r="AI75" s="219"/>
      <c r="AJ75" s="219"/>
      <c r="AK75" s="220"/>
      <c r="AL75" s="5"/>
      <c r="AM75" s="5"/>
      <c r="AN75" s="5"/>
      <c r="AO75" s="218"/>
      <c r="AP75" s="223"/>
      <c r="AQ75" s="224"/>
      <c r="AR75" s="225"/>
      <c r="AS75" s="223"/>
      <c r="AT75" s="231"/>
    </row>
    <row r="76" s="78" customFormat="1" ht="43" customHeight="1" spans="1:46">
      <c r="A76" s="11"/>
      <c r="B76" s="3" t="s">
        <v>1038</v>
      </c>
      <c r="C76" s="55" t="s">
        <v>60</v>
      </c>
      <c r="D76" s="182" t="s">
        <v>599</v>
      </c>
      <c r="E76" s="56">
        <v>46104</v>
      </c>
      <c r="F76" s="3"/>
      <c r="G76" s="3" t="s">
        <v>50</v>
      </c>
      <c r="H76" s="3" t="s">
        <v>1039</v>
      </c>
      <c r="I76" s="198"/>
      <c r="J76" s="9"/>
      <c r="K76" s="10"/>
      <c r="L76" s="11"/>
      <c r="M76" s="11"/>
      <c r="N76" s="18">
        <v>329553</v>
      </c>
      <c r="O76" s="203"/>
      <c r="P76" s="18"/>
      <c r="Q76" s="57"/>
      <c r="R76" s="11"/>
      <c r="S76" s="207"/>
      <c r="T76" s="208"/>
      <c r="U76" s="208"/>
      <c r="V76" s="253"/>
      <c r="W76" s="205"/>
      <c r="X76" s="211"/>
      <c r="Y76" s="211"/>
      <c r="Z76" s="215"/>
      <c r="AA76" s="215"/>
      <c r="AB76" s="215"/>
      <c r="AC76" s="215"/>
      <c r="AD76" s="216"/>
      <c r="AE76" s="217"/>
      <c r="AF76" s="217"/>
      <c r="AG76" s="218"/>
      <c r="AH76" s="219"/>
      <c r="AI76" s="219"/>
      <c r="AJ76" s="219"/>
      <c r="AK76" s="220"/>
      <c r="AL76" s="5"/>
      <c r="AM76" s="5"/>
      <c r="AN76" s="5"/>
      <c r="AO76" s="218"/>
      <c r="AP76" s="223"/>
      <c r="AQ76" s="224"/>
      <c r="AR76" s="225"/>
      <c r="AS76" s="223"/>
      <c r="AT76" s="231"/>
    </row>
    <row r="77" ht="68" spans="1:46">
      <c r="A77" s="11">
        <v>55</v>
      </c>
      <c r="B77" s="3" t="s">
        <v>1040</v>
      </c>
      <c r="C77" s="186" t="s">
        <v>1041</v>
      </c>
      <c r="D77" s="182" t="s">
        <v>599</v>
      </c>
      <c r="E77" s="57" t="s">
        <v>1042</v>
      </c>
      <c r="F77" s="3" t="s">
        <v>1043</v>
      </c>
      <c r="G77" s="3" t="s">
        <v>86</v>
      </c>
      <c r="H77" s="3" t="s">
        <v>1044</v>
      </c>
      <c r="I77" s="198" t="s">
        <v>1045</v>
      </c>
      <c r="J77" s="9" t="s">
        <v>1046</v>
      </c>
      <c r="K77" s="10" t="s">
        <v>90</v>
      </c>
      <c r="L77" s="11">
        <v>2</v>
      </c>
      <c r="M77" s="11">
        <v>48.2</v>
      </c>
      <c r="N77" s="18">
        <v>75107</v>
      </c>
      <c r="O77" s="203"/>
      <c r="P77" s="18"/>
      <c r="Q77" s="57"/>
      <c r="R77" s="11">
        <v>1</v>
      </c>
      <c r="S77" s="207"/>
      <c r="T77" s="208"/>
      <c r="U77" s="208"/>
      <c r="V77" s="205" t="s">
        <v>1043</v>
      </c>
      <c r="W77" s="205" t="s">
        <v>1047</v>
      </c>
      <c r="X77" s="211">
        <v>0.354166666666667</v>
      </c>
      <c r="Y77" s="211">
        <v>0.125</v>
      </c>
      <c r="Z77" s="215"/>
      <c r="AA77" s="215"/>
      <c r="AB77" s="215"/>
      <c r="AC77" s="215"/>
      <c r="AD77" s="216"/>
      <c r="AE77" s="217"/>
      <c r="AF77" s="217"/>
      <c r="AG77" s="218"/>
      <c r="AH77" s="219"/>
      <c r="AI77" s="219"/>
      <c r="AJ77" s="219"/>
      <c r="AK77" s="220"/>
      <c r="AL77" s="5"/>
      <c r="AM77" s="5"/>
      <c r="AN77" s="5"/>
      <c r="AO77" s="218"/>
      <c r="AP77" s="223"/>
      <c r="AQ77" s="224"/>
      <c r="AR77" s="225"/>
      <c r="AS77" s="223"/>
      <c r="AT77" s="231"/>
    </row>
    <row r="78" ht="68" spans="1:46">
      <c r="A78" s="11">
        <v>56</v>
      </c>
      <c r="B78" s="3" t="s">
        <v>1048</v>
      </c>
      <c r="C78" s="186" t="s">
        <v>60</v>
      </c>
      <c r="D78" s="182" t="s">
        <v>599</v>
      </c>
      <c r="E78" s="57" t="s">
        <v>1042</v>
      </c>
      <c r="F78" s="3" t="s">
        <v>1049</v>
      </c>
      <c r="G78" s="3" t="s">
        <v>86</v>
      </c>
      <c r="H78" s="3" t="s">
        <v>1050</v>
      </c>
      <c r="I78" s="198" t="s">
        <v>1051</v>
      </c>
      <c r="J78" s="9" t="s">
        <v>1052</v>
      </c>
      <c r="K78" s="10" t="s">
        <v>90</v>
      </c>
      <c r="L78" s="11">
        <v>1</v>
      </c>
      <c r="M78" s="11">
        <v>48.2</v>
      </c>
      <c r="N78" s="18">
        <v>34597</v>
      </c>
      <c r="O78" s="203"/>
      <c r="P78" s="18"/>
      <c r="Q78" s="57"/>
      <c r="R78" s="11">
        <v>1</v>
      </c>
      <c r="S78" s="207"/>
      <c r="T78" s="208"/>
      <c r="U78" s="208"/>
      <c r="V78" s="205" t="s">
        <v>1049</v>
      </c>
      <c r="W78" s="205" t="s">
        <v>1047</v>
      </c>
      <c r="X78" s="211">
        <v>0.354166666666667</v>
      </c>
      <c r="Y78" s="211">
        <v>0.125</v>
      </c>
      <c r="Z78" s="215"/>
      <c r="AA78" s="215"/>
      <c r="AB78" s="215"/>
      <c r="AC78" s="215"/>
      <c r="AD78" s="216"/>
      <c r="AE78" s="217"/>
      <c r="AF78" s="217"/>
      <c r="AG78" s="218"/>
      <c r="AH78" s="219"/>
      <c r="AI78" s="219"/>
      <c r="AJ78" s="219"/>
      <c r="AK78" s="220"/>
      <c r="AL78" s="5"/>
      <c r="AM78" s="5"/>
      <c r="AN78" s="5"/>
      <c r="AO78" s="218"/>
      <c r="AP78" s="223"/>
      <c r="AQ78" s="224"/>
      <c r="AR78" s="225"/>
      <c r="AS78" s="223"/>
      <c r="AT78" s="231"/>
    </row>
    <row r="79" ht="51" spans="1:46">
      <c r="A79" s="11">
        <v>48</v>
      </c>
      <c r="B79" s="180" t="s">
        <v>1053</v>
      </c>
      <c r="C79" s="181" t="s">
        <v>1041</v>
      </c>
      <c r="D79" s="182" t="s">
        <v>599</v>
      </c>
      <c r="E79" s="10" t="s">
        <v>1042</v>
      </c>
      <c r="F79" s="180" t="s">
        <v>928</v>
      </c>
      <c r="G79" s="180" t="s">
        <v>86</v>
      </c>
      <c r="H79" s="180" t="s">
        <v>1054</v>
      </c>
      <c r="I79" s="194">
        <v>743700835</v>
      </c>
      <c r="J79" s="195" t="s">
        <v>1055</v>
      </c>
      <c r="K79" s="10" t="s">
        <v>90</v>
      </c>
      <c r="L79" s="11">
        <v>3</v>
      </c>
      <c r="M79" s="11">
        <v>3</v>
      </c>
      <c r="N79" s="18">
        <v>18000</v>
      </c>
      <c r="O79" s="203"/>
      <c r="P79" s="18"/>
      <c r="Q79" s="10" t="s">
        <v>931</v>
      </c>
      <c r="R79" s="21"/>
      <c r="S79" s="12"/>
      <c r="T79" s="22"/>
      <c r="U79" s="22"/>
      <c r="V79" s="14" t="s">
        <v>932</v>
      </c>
      <c r="W79" s="14" t="s">
        <v>933</v>
      </c>
      <c r="X79" s="25">
        <v>0.354166666666667</v>
      </c>
      <c r="Y79" s="25">
        <v>0.520833333333333</v>
      </c>
      <c r="Z79" s="28"/>
      <c r="AA79" s="28"/>
      <c r="AB79" s="28"/>
      <c r="AC79" s="28"/>
      <c r="AD79" s="30"/>
      <c r="AE79" s="31"/>
      <c r="AF79" s="31"/>
      <c r="AG79" s="32"/>
      <c r="AH79" s="33"/>
      <c r="AI79" s="33"/>
      <c r="AJ79" s="33"/>
      <c r="AK79" s="34"/>
      <c r="AL79" s="36"/>
      <c r="AM79" s="36"/>
      <c r="AN79" s="36"/>
      <c r="AO79" s="32"/>
      <c r="AP79" s="40">
        <v>0</v>
      </c>
      <c r="AQ79" s="41"/>
      <c r="AR79" s="43">
        <f t="shared" ref="AR79:AR83" si="4">AP79-(N79+AE79+AF79)</f>
        <v>-18000</v>
      </c>
      <c r="AS79" s="40"/>
      <c r="AT79" s="46"/>
    </row>
    <row r="80" ht="51" spans="1:46">
      <c r="A80" s="11">
        <v>58</v>
      </c>
      <c r="B80" s="180" t="s">
        <v>1056</v>
      </c>
      <c r="C80" s="186" t="s">
        <v>60</v>
      </c>
      <c r="D80" s="182" t="s">
        <v>599</v>
      </c>
      <c r="E80" s="190">
        <v>46105</v>
      </c>
      <c r="F80" s="180" t="s">
        <v>1057</v>
      </c>
      <c r="G80" s="180" t="s">
        <v>86</v>
      </c>
      <c r="H80" s="180" t="s">
        <v>953</v>
      </c>
      <c r="I80" s="194" t="s">
        <v>954</v>
      </c>
      <c r="J80" s="195" t="s">
        <v>1058</v>
      </c>
      <c r="K80" s="10" t="s">
        <v>90</v>
      </c>
      <c r="L80" s="11">
        <v>1</v>
      </c>
      <c r="M80" s="11">
        <v>11.8</v>
      </c>
      <c r="N80" s="18">
        <v>22717</v>
      </c>
      <c r="O80" s="203"/>
      <c r="P80" s="18"/>
      <c r="Q80" s="10"/>
      <c r="R80" s="21"/>
      <c r="S80" s="12"/>
      <c r="T80" s="22"/>
      <c r="U80" s="22"/>
      <c r="V80" s="14" t="s">
        <v>1059</v>
      </c>
      <c r="W80" s="14" t="s">
        <v>1060</v>
      </c>
      <c r="X80" s="209" t="s">
        <v>205</v>
      </c>
      <c r="Y80" s="209" t="s">
        <v>992</v>
      </c>
      <c r="Z80" s="28"/>
      <c r="AA80" s="28"/>
      <c r="AB80" s="28"/>
      <c r="AC80" s="28"/>
      <c r="AD80" s="30"/>
      <c r="AE80" s="31"/>
      <c r="AF80" s="31"/>
      <c r="AG80" s="32"/>
      <c r="AH80" s="33"/>
      <c r="AI80" s="33"/>
      <c r="AJ80" s="33"/>
      <c r="AK80" s="34"/>
      <c r="AL80" s="36"/>
      <c r="AM80" s="36"/>
      <c r="AN80" s="36"/>
      <c r="AO80" s="32"/>
      <c r="AP80" s="40"/>
      <c r="AQ80" s="41"/>
      <c r="AR80" s="43"/>
      <c r="AS80" s="40"/>
      <c r="AT80" s="46"/>
    </row>
    <row r="81" ht="51" spans="1:46">
      <c r="A81" s="11">
        <v>49</v>
      </c>
      <c r="B81" s="180" t="s">
        <v>1061</v>
      </c>
      <c r="C81" s="181" t="s">
        <v>1041</v>
      </c>
      <c r="D81" s="182" t="s">
        <v>599</v>
      </c>
      <c r="E81" s="10" t="s">
        <v>1062</v>
      </c>
      <c r="F81" s="180" t="s">
        <v>928</v>
      </c>
      <c r="G81" s="180" t="s">
        <v>86</v>
      </c>
      <c r="H81" s="180" t="s">
        <v>929</v>
      </c>
      <c r="I81" s="194">
        <v>743700835</v>
      </c>
      <c r="J81" s="195" t="s">
        <v>1055</v>
      </c>
      <c r="K81" s="10" t="s">
        <v>90</v>
      </c>
      <c r="L81" s="11">
        <v>3</v>
      </c>
      <c r="M81" s="11">
        <v>3</v>
      </c>
      <c r="N81" s="18">
        <v>18000</v>
      </c>
      <c r="O81" s="203"/>
      <c r="P81" s="18"/>
      <c r="Q81" s="10" t="s">
        <v>931</v>
      </c>
      <c r="R81" s="21"/>
      <c r="S81" s="12"/>
      <c r="T81" s="22"/>
      <c r="U81" s="22"/>
      <c r="V81" s="14" t="s">
        <v>932</v>
      </c>
      <c r="W81" s="14" t="s">
        <v>933</v>
      </c>
      <c r="X81" s="25">
        <v>0.354166666666667</v>
      </c>
      <c r="Y81" s="25">
        <v>0.520833333333333</v>
      </c>
      <c r="Z81" s="28"/>
      <c r="AA81" s="28"/>
      <c r="AB81" s="28"/>
      <c r="AC81" s="28"/>
      <c r="AD81" s="30"/>
      <c r="AE81" s="31"/>
      <c r="AF81" s="31"/>
      <c r="AG81" s="32"/>
      <c r="AH81" s="33"/>
      <c r="AI81" s="33"/>
      <c r="AJ81" s="33"/>
      <c r="AK81" s="34"/>
      <c r="AL81" s="36"/>
      <c r="AM81" s="36"/>
      <c r="AN81" s="36"/>
      <c r="AO81" s="32"/>
      <c r="AP81" s="40">
        <v>0</v>
      </c>
      <c r="AQ81" s="41"/>
      <c r="AR81" s="43">
        <f t="shared" si="4"/>
        <v>-18000</v>
      </c>
      <c r="AS81" s="40"/>
      <c r="AT81" s="46"/>
    </row>
    <row r="82" ht="70" customHeight="1" spans="1:46">
      <c r="A82" s="11">
        <v>50</v>
      </c>
      <c r="B82" s="3" t="s">
        <v>1063</v>
      </c>
      <c r="C82" s="181" t="s">
        <v>84</v>
      </c>
      <c r="D82" s="182" t="s">
        <v>599</v>
      </c>
      <c r="E82" s="10" t="s">
        <v>1064</v>
      </c>
      <c r="F82" s="3" t="s">
        <v>1065</v>
      </c>
      <c r="G82" s="3" t="s">
        <v>50</v>
      </c>
      <c r="H82" s="3" t="s">
        <v>1066</v>
      </c>
      <c r="I82" s="198">
        <v>772127705</v>
      </c>
      <c r="J82" s="9" t="s">
        <v>1067</v>
      </c>
      <c r="K82" s="10" t="s">
        <v>649</v>
      </c>
      <c r="L82" s="11">
        <v>1</v>
      </c>
      <c r="M82" s="11">
        <v>450.4</v>
      </c>
      <c r="N82" s="18">
        <v>206421</v>
      </c>
      <c r="O82" s="203"/>
      <c r="P82" s="18"/>
      <c r="Q82" s="10"/>
      <c r="R82" s="21"/>
      <c r="S82" s="12" t="s">
        <v>304</v>
      </c>
      <c r="T82" s="22" t="s">
        <v>261</v>
      </c>
      <c r="U82" s="22" t="s">
        <v>112</v>
      </c>
      <c r="V82" s="14" t="s">
        <v>1068</v>
      </c>
      <c r="W82" s="14" t="s">
        <v>1069</v>
      </c>
      <c r="X82" s="209" t="s">
        <v>465</v>
      </c>
      <c r="Y82" s="209" t="s">
        <v>1070</v>
      </c>
      <c r="Z82" s="27"/>
      <c r="AA82" s="27"/>
      <c r="AB82" s="28"/>
      <c r="AC82" s="28"/>
      <c r="AD82" s="30"/>
      <c r="AE82" s="31"/>
      <c r="AF82" s="31"/>
      <c r="AG82" s="32"/>
      <c r="AH82" s="33"/>
      <c r="AI82" s="33"/>
      <c r="AJ82" s="33"/>
      <c r="AK82" s="34"/>
      <c r="AL82" s="36"/>
      <c r="AM82" s="36"/>
      <c r="AN82" s="36"/>
      <c r="AO82" s="32"/>
      <c r="AP82" s="40">
        <v>100000</v>
      </c>
      <c r="AQ82" s="41">
        <v>46091</v>
      </c>
      <c r="AR82" s="43">
        <f t="shared" si="4"/>
        <v>-106421</v>
      </c>
      <c r="AS82" s="40"/>
      <c r="AT82" s="46" t="s">
        <v>1071</v>
      </c>
    </row>
    <row r="83" ht="51" spans="1:46">
      <c r="A83" s="11">
        <v>51</v>
      </c>
      <c r="B83" s="3" t="s">
        <v>1072</v>
      </c>
      <c r="C83" s="181" t="s">
        <v>84</v>
      </c>
      <c r="D83" s="182" t="s">
        <v>599</v>
      </c>
      <c r="E83" s="10" t="s">
        <v>1064</v>
      </c>
      <c r="F83" s="3" t="s">
        <v>1065</v>
      </c>
      <c r="G83" s="3" t="s">
        <v>50</v>
      </c>
      <c r="H83" s="3" t="s">
        <v>1073</v>
      </c>
      <c r="I83" s="198">
        <v>777514874</v>
      </c>
      <c r="J83" s="9" t="s">
        <v>1074</v>
      </c>
      <c r="K83" s="10" t="s">
        <v>54</v>
      </c>
      <c r="L83" s="11">
        <v>1</v>
      </c>
      <c r="M83" s="11">
        <v>572.1</v>
      </c>
      <c r="N83" s="18">
        <v>240451</v>
      </c>
      <c r="O83" s="203"/>
      <c r="P83" s="18"/>
      <c r="Q83" s="10"/>
      <c r="R83" s="21">
        <v>1</v>
      </c>
      <c r="S83" s="12" t="s">
        <v>801</v>
      </c>
      <c r="T83" s="22" t="s">
        <v>998</v>
      </c>
      <c r="U83" s="22" t="s">
        <v>414</v>
      </c>
      <c r="V83" s="14" t="s">
        <v>1075</v>
      </c>
      <c r="W83" s="14" t="s">
        <v>1076</v>
      </c>
      <c r="X83" s="25">
        <v>0.125</v>
      </c>
      <c r="Y83" s="25">
        <v>0.791666666666667</v>
      </c>
      <c r="Z83" s="27"/>
      <c r="AA83" s="27"/>
      <c r="AB83" s="28"/>
      <c r="AC83" s="28"/>
      <c r="AD83" s="30"/>
      <c r="AE83" s="31"/>
      <c r="AF83" s="31"/>
      <c r="AG83" s="32"/>
      <c r="AH83" s="33"/>
      <c r="AI83" s="33"/>
      <c r="AJ83" s="33"/>
      <c r="AK83" s="34"/>
      <c r="AL83" s="36"/>
      <c r="AM83" s="36"/>
      <c r="AN83" s="36"/>
      <c r="AO83" s="32"/>
      <c r="AP83" s="40">
        <v>121000</v>
      </c>
      <c r="AQ83" s="41">
        <v>46085</v>
      </c>
      <c r="AR83" s="43">
        <f t="shared" si="4"/>
        <v>-119451</v>
      </c>
      <c r="AS83" s="45" t="s">
        <v>1077</v>
      </c>
      <c r="AT83" s="46" t="s">
        <v>116</v>
      </c>
    </row>
    <row r="84" customFormat="1" ht="50.25" customHeight="1" spans="1:46">
      <c r="A84" s="11"/>
      <c r="B84" s="187" t="s">
        <v>1078</v>
      </c>
      <c r="C84" s="181" t="s">
        <v>84</v>
      </c>
      <c r="D84" s="182" t="s">
        <v>599</v>
      </c>
      <c r="E84" s="190">
        <v>46107</v>
      </c>
      <c r="F84" s="3" t="s">
        <v>266</v>
      </c>
      <c r="G84" s="3" t="s">
        <v>50</v>
      </c>
      <c r="H84" s="186" t="s">
        <v>1079</v>
      </c>
      <c r="I84" s="325" t="s">
        <v>1080</v>
      </c>
      <c r="J84" s="9" t="s">
        <v>1081</v>
      </c>
      <c r="K84" s="10" t="s">
        <v>649</v>
      </c>
      <c r="L84" s="11">
        <v>1</v>
      </c>
      <c r="M84" s="11">
        <v>41.5</v>
      </c>
      <c r="N84" s="18">
        <v>30000</v>
      </c>
      <c r="O84" s="203"/>
      <c r="P84" s="18"/>
      <c r="Q84" s="10"/>
      <c r="R84" s="21">
        <v>1</v>
      </c>
      <c r="S84" s="12" t="s">
        <v>250</v>
      </c>
      <c r="T84" s="22" t="s">
        <v>413</v>
      </c>
      <c r="U84" s="22"/>
      <c r="V84" s="14" t="s">
        <v>1082</v>
      </c>
      <c r="W84" s="14" t="s">
        <v>1083</v>
      </c>
      <c r="X84" s="209" t="s">
        <v>1084</v>
      </c>
      <c r="Y84" s="209" t="s">
        <v>1085</v>
      </c>
      <c r="Z84" s="27"/>
      <c r="AA84" s="27"/>
      <c r="AB84" s="28"/>
      <c r="AC84" s="28"/>
      <c r="AD84" s="30"/>
      <c r="AE84" s="31"/>
      <c r="AF84" s="31"/>
      <c r="AG84" s="32"/>
      <c r="AH84" s="33"/>
      <c r="AI84" s="33"/>
      <c r="AJ84" s="33"/>
      <c r="AK84" s="34"/>
      <c r="AL84" s="36"/>
      <c r="AM84" s="36"/>
      <c r="AN84" s="36"/>
      <c r="AO84" s="32"/>
      <c r="AP84" s="40"/>
      <c r="AQ84" s="41"/>
      <c r="AR84" s="43"/>
      <c r="AS84" s="40"/>
      <c r="AT84" s="46"/>
    </row>
    <row r="85" s="78" customFormat="1" ht="50.25" customHeight="1" spans="1:46">
      <c r="A85" s="11"/>
      <c r="B85" s="187">
        <v>1361</v>
      </c>
      <c r="C85" s="52" t="s">
        <v>60</v>
      </c>
      <c r="D85" s="182" t="s">
        <v>599</v>
      </c>
      <c r="E85" s="190">
        <v>46106</v>
      </c>
      <c r="F85" s="3"/>
      <c r="G85" s="3" t="s">
        <v>50</v>
      </c>
      <c r="H85" s="3" t="s">
        <v>1086</v>
      </c>
      <c r="I85" s="240"/>
      <c r="J85" s="9" t="s">
        <v>1087</v>
      </c>
      <c r="K85" s="10"/>
      <c r="L85" s="11"/>
      <c r="M85" s="11"/>
      <c r="N85" s="18">
        <v>218097</v>
      </c>
      <c r="O85" s="203"/>
      <c r="P85" s="18"/>
      <c r="Q85" s="10"/>
      <c r="R85" s="21"/>
      <c r="S85" s="12"/>
      <c r="T85" s="22"/>
      <c r="U85" s="22"/>
      <c r="V85" s="14"/>
      <c r="W85" s="14"/>
      <c r="X85" s="209"/>
      <c r="Y85" s="209"/>
      <c r="Z85" s="27"/>
      <c r="AA85" s="27"/>
      <c r="AB85" s="28"/>
      <c r="AC85" s="28"/>
      <c r="AD85" s="30"/>
      <c r="AE85" s="31"/>
      <c r="AF85" s="31"/>
      <c r="AG85" s="32"/>
      <c r="AH85" s="33"/>
      <c r="AI85" s="33"/>
      <c r="AJ85" s="33"/>
      <c r="AK85" s="34"/>
      <c r="AL85" s="36"/>
      <c r="AM85" s="36"/>
      <c r="AN85" s="36"/>
      <c r="AO85" s="32"/>
      <c r="AP85" s="40"/>
      <c r="AQ85" s="41"/>
      <c r="AR85" s="222"/>
      <c r="AS85" s="40"/>
      <c r="AT85" s="46"/>
    </row>
    <row r="86" s="78" customFormat="1" ht="50.25" customHeight="1" spans="1:46">
      <c r="A86" s="11">
        <v>52</v>
      </c>
      <c r="B86" s="187" t="s">
        <v>1088</v>
      </c>
      <c r="C86" s="52" t="s">
        <v>47</v>
      </c>
      <c r="D86" s="182" t="s">
        <v>599</v>
      </c>
      <c r="E86" s="190">
        <v>46108</v>
      </c>
      <c r="F86" s="3" t="s">
        <v>1089</v>
      </c>
      <c r="G86" s="3" t="s">
        <v>50</v>
      </c>
      <c r="H86" s="3" t="s">
        <v>1090</v>
      </c>
      <c r="I86" s="240">
        <v>763366761</v>
      </c>
      <c r="J86" s="9" t="s">
        <v>1091</v>
      </c>
      <c r="K86" s="10" t="s">
        <v>54</v>
      </c>
      <c r="L86" s="11">
        <v>6</v>
      </c>
      <c r="M86" s="11">
        <v>233.1</v>
      </c>
      <c r="N86" s="18">
        <v>600000</v>
      </c>
      <c r="O86" s="203"/>
      <c r="P86" s="18"/>
      <c r="Q86" s="10"/>
      <c r="R86" s="21">
        <v>1</v>
      </c>
      <c r="S86" s="12"/>
      <c r="T86" s="22"/>
      <c r="U86" s="22"/>
      <c r="V86" s="14" t="s">
        <v>1092</v>
      </c>
      <c r="W86" s="14" t="s">
        <v>663</v>
      </c>
      <c r="X86" s="209" t="s">
        <v>99</v>
      </c>
      <c r="Y86" s="209" t="s">
        <v>547</v>
      </c>
      <c r="Z86" s="27"/>
      <c r="AA86" s="27"/>
      <c r="AB86" s="28"/>
      <c r="AC86" s="28"/>
      <c r="AD86" s="30"/>
      <c r="AE86" s="31"/>
      <c r="AF86" s="31"/>
      <c r="AG86" s="32"/>
      <c r="AH86" s="33"/>
      <c r="AI86" s="33"/>
      <c r="AJ86" s="33"/>
      <c r="AK86" s="34"/>
      <c r="AL86" s="36"/>
      <c r="AM86" s="36"/>
      <c r="AN86" s="36"/>
      <c r="AO86" s="32"/>
      <c r="AP86" s="40">
        <v>300000</v>
      </c>
      <c r="AQ86" s="41">
        <v>46097</v>
      </c>
      <c r="AR86" s="222">
        <v>300000</v>
      </c>
      <c r="AS86" s="40"/>
      <c r="AT86" s="46"/>
    </row>
    <row r="87" s="78" customFormat="1" ht="59" customHeight="1" spans="1:46">
      <c r="A87" s="11">
        <v>53</v>
      </c>
      <c r="B87" s="3" t="s">
        <v>1093</v>
      </c>
      <c r="C87" s="52" t="s">
        <v>60</v>
      </c>
      <c r="D87" s="182" t="s">
        <v>599</v>
      </c>
      <c r="E87" s="10" t="s">
        <v>1094</v>
      </c>
      <c r="F87" s="3" t="s">
        <v>1095</v>
      </c>
      <c r="G87" s="3" t="s">
        <v>50</v>
      </c>
      <c r="H87" s="3" t="s">
        <v>972</v>
      </c>
      <c r="I87" s="241" t="s">
        <v>52</v>
      </c>
      <c r="J87" s="9" t="s">
        <v>1096</v>
      </c>
      <c r="K87" s="10" t="s">
        <v>212</v>
      </c>
      <c r="L87" s="11">
        <v>8</v>
      </c>
      <c r="M87" s="11">
        <v>480</v>
      </c>
      <c r="N87" s="18">
        <v>1315628</v>
      </c>
      <c r="O87" s="203"/>
      <c r="P87" s="18"/>
      <c r="Q87" s="10" t="s">
        <v>974</v>
      </c>
      <c r="R87" s="21">
        <v>1</v>
      </c>
      <c r="S87" s="12"/>
      <c r="T87" s="22"/>
      <c r="U87" s="22"/>
      <c r="V87" s="14" t="s">
        <v>1097</v>
      </c>
      <c r="W87" s="14" t="s">
        <v>1098</v>
      </c>
      <c r="X87" s="25">
        <v>0.208333333333333</v>
      </c>
      <c r="Y87" s="25">
        <v>0.958333333333333</v>
      </c>
      <c r="Z87" s="27"/>
      <c r="AA87" s="27"/>
      <c r="AB87" s="28"/>
      <c r="AC87" s="28"/>
      <c r="AD87" s="30"/>
      <c r="AE87" s="31"/>
      <c r="AF87" s="31"/>
      <c r="AG87" s="32"/>
      <c r="AH87" s="33"/>
      <c r="AI87" s="33"/>
      <c r="AJ87" s="33"/>
      <c r="AK87" s="34"/>
      <c r="AL87" s="36"/>
      <c r="AM87" s="36"/>
      <c r="AN87" s="36"/>
      <c r="AO87" s="32"/>
      <c r="AP87" s="40"/>
      <c r="AQ87" s="41"/>
      <c r="AR87" s="222"/>
      <c r="AS87" s="40"/>
      <c r="AT87" s="46"/>
    </row>
    <row r="88" s="78" customFormat="1" ht="84" spans="1:46">
      <c r="A88" s="11">
        <v>63</v>
      </c>
      <c r="B88" s="3" t="s">
        <v>1099</v>
      </c>
      <c r="C88" s="52" t="s">
        <v>60</v>
      </c>
      <c r="D88" s="182" t="s">
        <v>599</v>
      </c>
      <c r="E88" s="10" t="s">
        <v>1094</v>
      </c>
      <c r="F88" s="3" t="s">
        <v>1100</v>
      </c>
      <c r="G88" s="3" t="s">
        <v>50</v>
      </c>
      <c r="H88" s="3" t="s">
        <v>972</v>
      </c>
      <c r="I88" s="198" t="s">
        <v>52</v>
      </c>
      <c r="J88" s="9" t="s">
        <v>1101</v>
      </c>
      <c r="K88" s="10" t="s">
        <v>212</v>
      </c>
      <c r="L88" s="11">
        <v>5</v>
      </c>
      <c r="M88" s="11">
        <v>424</v>
      </c>
      <c r="N88" s="18">
        <v>938841</v>
      </c>
      <c r="O88" s="203"/>
      <c r="P88" s="18"/>
      <c r="Q88" s="10" t="s">
        <v>1102</v>
      </c>
      <c r="R88" s="21">
        <v>1</v>
      </c>
      <c r="S88" s="12"/>
      <c r="T88" s="22"/>
      <c r="U88" s="22"/>
      <c r="V88" s="14" t="s">
        <v>1097</v>
      </c>
      <c r="W88" s="14" t="s">
        <v>760</v>
      </c>
      <c r="X88" s="25">
        <v>0.208333333333333</v>
      </c>
      <c r="Y88" s="25">
        <v>0.833333333333333</v>
      </c>
      <c r="Z88" s="27"/>
      <c r="AA88" s="27"/>
      <c r="AB88" s="28"/>
      <c r="AC88" s="28"/>
      <c r="AD88" s="30"/>
      <c r="AE88" s="31"/>
      <c r="AF88" s="31"/>
      <c r="AG88" s="32"/>
      <c r="AH88" s="33"/>
      <c r="AI88" s="33"/>
      <c r="AJ88" s="33"/>
      <c r="AK88" s="34"/>
      <c r="AL88" s="36"/>
      <c r="AM88" s="36"/>
      <c r="AN88" s="36"/>
      <c r="AO88" s="32"/>
      <c r="AP88" s="40"/>
      <c r="AQ88" s="41"/>
      <c r="AR88" s="222"/>
      <c r="AS88" s="40"/>
      <c r="AT88" s="46"/>
    </row>
    <row r="89" s="78" customFormat="1" ht="101" spans="1:46">
      <c r="A89" s="11">
        <v>54</v>
      </c>
      <c r="B89" s="3" t="s">
        <v>1103</v>
      </c>
      <c r="C89" s="52" t="s">
        <v>60</v>
      </c>
      <c r="D89" s="182" t="s">
        <v>599</v>
      </c>
      <c r="E89" s="10" t="s">
        <v>1094</v>
      </c>
      <c r="F89" s="3" t="s">
        <v>1104</v>
      </c>
      <c r="G89" s="3" t="s">
        <v>50</v>
      </c>
      <c r="H89" s="3" t="s">
        <v>972</v>
      </c>
      <c r="I89" s="198" t="s">
        <v>52</v>
      </c>
      <c r="J89" s="9" t="s">
        <v>1105</v>
      </c>
      <c r="K89" s="10" t="s">
        <v>212</v>
      </c>
      <c r="L89" s="11">
        <v>5</v>
      </c>
      <c r="M89" s="11">
        <v>300.9</v>
      </c>
      <c r="N89" s="18">
        <v>642667</v>
      </c>
      <c r="O89" s="203"/>
      <c r="P89" s="18"/>
      <c r="Q89" s="10" t="s">
        <v>1106</v>
      </c>
      <c r="R89" s="21">
        <v>1</v>
      </c>
      <c r="S89" s="12"/>
      <c r="T89" s="22"/>
      <c r="U89" s="22"/>
      <c r="V89" s="14" t="s">
        <v>1097</v>
      </c>
      <c r="W89" s="14"/>
      <c r="X89" s="25">
        <v>0.208333333333333</v>
      </c>
      <c r="Y89" s="25">
        <v>0.833333333333333</v>
      </c>
      <c r="Z89" s="27"/>
      <c r="AA89" s="27"/>
      <c r="AB89" s="28"/>
      <c r="AC89" s="28"/>
      <c r="AD89" s="30"/>
      <c r="AE89" s="31"/>
      <c r="AF89" s="31"/>
      <c r="AG89" s="32"/>
      <c r="AH89" s="33"/>
      <c r="AI89" s="33"/>
      <c r="AJ89" s="33"/>
      <c r="AK89" s="34"/>
      <c r="AL89" s="36"/>
      <c r="AM89" s="36"/>
      <c r="AN89" s="36"/>
      <c r="AO89" s="32"/>
      <c r="AP89" s="40"/>
      <c r="AQ89" s="41"/>
      <c r="AR89" s="222"/>
      <c r="AS89" s="40"/>
      <c r="AT89" s="46"/>
    </row>
    <row r="90" s="78" customFormat="1" ht="118" spans="1:46">
      <c r="A90" s="11">
        <v>65</v>
      </c>
      <c r="B90" s="3" t="s">
        <v>1107</v>
      </c>
      <c r="C90" s="52" t="s">
        <v>60</v>
      </c>
      <c r="D90" s="182" t="s">
        <v>599</v>
      </c>
      <c r="E90" s="10" t="s">
        <v>1094</v>
      </c>
      <c r="F90" s="3" t="s">
        <v>1108</v>
      </c>
      <c r="G90" s="3" t="s">
        <v>50</v>
      </c>
      <c r="H90" s="3" t="s">
        <v>1109</v>
      </c>
      <c r="I90" s="198" t="s">
        <v>1110</v>
      </c>
      <c r="J90" s="9" t="s">
        <v>1111</v>
      </c>
      <c r="K90" s="10" t="s">
        <v>212</v>
      </c>
      <c r="L90" s="11">
        <v>9</v>
      </c>
      <c r="M90" s="11">
        <v>330.3</v>
      </c>
      <c r="N90" s="18">
        <v>1222641</v>
      </c>
      <c r="O90" s="203"/>
      <c r="P90" s="18"/>
      <c r="Q90" s="10" t="s">
        <v>1112</v>
      </c>
      <c r="R90" s="21">
        <v>1</v>
      </c>
      <c r="S90" s="12"/>
      <c r="T90" s="22"/>
      <c r="U90" s="22"/>
      <c r="V90" s="14" t="s">
        <v>1097</v>
      </c>
      <c r="W90" s="14" t="s">
        <v>1113</v>
      </c>
      <c r="X90" s="25">
        <v>0.208333333333333</v>
      </c>
      <c r="Y90" s="25">
        <v>0.833333333333333</v>
      </c>
      <c r="Z90" s="27"/>
      <c r="AA90" s="27"/>
      <c r="AB90" s="28"/>
      <c r="AC90" s="28"/>
      <c r="AD90" s="30"/>
      <c r="AE90" s="31"/>
      <c r="AF90" s="31"/>
      <c r="AG90" s="32"/>
      <c r="AH90" s="33"/>
      <c r="AI90" s="33"/>
      <c r="AJ90" s="33"/>
      <c r="AK90" s="34"/>
      <c r="AL90" s="36"/>
      <c r="AM90" s="36"/>
      <c r="AN90" s="36"/>
      <c r="AO90" s="32"/>
      <c r="AP90" s="40">
        <v>0</v>
      </c>
      <c r="AQ90" s="41"/>
      <c r="AR90" s="222"/>
      <c r="AS90" s="40"/>
      <c r="AT90" s="46"/>
    </row>
    <row r="91" ht="68" spans="1:46">
      <c r="A91" s="11">
        <v>66</v>
      </c>
      <c r="B91" s="3" t="s">
        <v>1114</v>
      </c>
      <c r="C91" s="186" t="s">
        <v>60</v>
      </c>
      <c r="D91" s="182" t="s">
        <v>599</v>
      </c>
      <c r="E91" s="10" t="s">
        <v>1094</v>
      </c>
      <c r="F91" s="3" t="s">
        <v>657</v>
      </c>
      <c r="G91" s="3" t="s">
        <v>86</v>
      </c>
      <c r="H91" s="3" t="s">
        <v>1115</v>
      </c>
      <c r="I91" s="3" t="s">
        <v>1116</v>
      </c>
      <c r="J91" s="9" t="s">
        <v>1117</v>
      </c>
      <c r="K91" s="10" t="s">
        <v>90</v>
      </c>
      <c r="L91" s="11">
        <v>4</v>
      </c>
      <c r="M91" s="11">
        <v>181.6</v>
      </c>
      <c r="N91" s="18">
        <v>191552</v>
      </c>
      <c r="O91" s="203"/>
      <c r="P91" s="18"/>
      <c r="Q91" s="10" t="s">
        <v>1118</v>
      </c>
      <c r="R91" s="21">
        <v>1</v>
      </c>
      <c r="S91" s="12"/>
      <c r="T91" s="22"/>
      <c r="U91" s="22"/>
      <c r="V91" s="14" t="s">
        <v>201</v>
      </c>
      <c r="W91" s="14" t="s">
        <v>1119</v>
      </c>
      <c r="X91" s="209" t="s">
        <v>205</v>
      </c>
      <c r="Y91" s="209" t="s">
        <v>206</v>
      </c>
      <c r="Z91" s="27"/>
      <c r="AA91" s="27"/>
      <c r="AB91" s="28"/>
      <c r="AC91" s="28"/>
      <c r="AD91" s="30"/>
      <c r="AE91" s="31"/>
      <c r="AF91" s="31"/>
      <c r="AG91" s="32"/>
      <c r="AH91" s="33"/>
      <c r="AI91" s="33"/>
      <c r="AJ91" s="33"/>
      <c r="AK91" s="34"/>
      <c r="AL91" s="36"/>
      <c r="AM91" s="36"/>
      <c r="AN91" s="36"/>
      <c r="AO91" s="32"/>
      <c r="AP91" s="40"/>
      <c r="AQ91" s="41"/>
      <c r="AR91" s="43"/>
      <c r="AS91" s="40"/>
      <c r="AT91" s="46"/>
    </row>
    <row r="92" customFormat="1" ht="50.25" customHeight="1" spans="1:46">
      <c r="A92" s="11"/>
      <c r="B92" s="187" t="s">
        <v>1120</v>
      </c>
      <c r="C92" s="181" t="s">
        <v>84</v>
      </c>
      <c r="D92" s="182" t="s">
        <v>599</v>
      </c>
      <c r="E92" s="190">
        <v>46108</v>
      </c>
      <c r="F92" s="3" t="s">
        <v>1121</v>
      </c>
      <c r="G92" s="3" t="s">
        <v>50</v>
      </c>
      <c r="H92" s="3" t="s">
        <v>1122</v>
      </c>
      <c r="I92" s="325" t="s">
        <v>1123</v>
      </c>
      <c r="J92" s="9" t="s">
        <v>1124</v>
      </c>
      <c r="K92" s="10" t="s">
        <v>649</v>
      </c>
      <c r="L92" s="11">
        <v>1</v>
      </c>
      <c r="M92" s="11">
        <v>616.3</v>
      </c>
      <c r="N92" s="18">
        <v>225000</v>
      </c>
      <c r="O92" s="203"/>
      <c r="P92" s="18"/>
      <c r="Q92" s="10"/>
      <c r="R92" s="21">
        <v>2</v>
      </c>
      <c r="S92" s="12" t="s">
        <v>997</v>
      </c>
      <c r="T92" s="22" t="s">
        <v>1125</v>
      </c>
      <c r="U92" s="22" t="s">
        <v>1126</v>
      </c>
      <c r="V92" s="14"/>
      <c r="W92" s="14"/>
      <c r="X92" s="209" t="s">
        <v>1127</v>
      </c>
      <c r="Y92" s="209"/>
      <c r="Z92" s="27"/>
      <c r="AA92" s="27"/>
      <c r="AB92" s="28"/>
      <c r="AC92" s="28"/>
      <c r="AD92" s="30"/>
      <c r="AE92" s="31"/>
      <c r="AF92" s="31"/>
      <c r="AG92" s="32"/>
      <c r="AH92" s="33"/>
      <c r="AI92" s="33"/>
      <c r="AJ92" s="33"/>
      <c r="AK92" s="34"/>
      <c r="AL92" s="36"/>
      <c r="AM92" s="36"/>
      <c r="AN92" s="36"/>
      <c r="AO92" s="32"/>
      <c r="AP92" s="40">
        <v>225000</v>
      </c>
      <c r="AQ92" s="41" t="s">
        <v>142</v>
      </c>
      <c r="AR92" s="43"/>
      <c r="AS92" s="40"/>
      <c r="AT92" s="46" t="s">
        <v>116</v>
      </c>
    </row>
    <row r="93" customFormat="1" ht="39.75" customHeight="1" spans="1:46">
      <c r="A93" s="11">
        <v>55</v>
      </c>
      <c r="B93" s="3" t="s">
        <v>1128</v>
      </c>
      <c r="C93" s="184" t="s">
        <v>84</v>
      </c>
      <c r="D93" s="182" t="s">
        <v>599</v>
      </c>
      <c r="E93" s="10" t="s">
        <v>1129</v>
      </c>
      <c r="F93" s="3" t="s">
        <v>1130</v>
      </c>
      <c r="G93" s="3" t="s">
        <v>50</v>
      </c>
      <c r="H93" s="3" t="s">
        <v>1131</v>
      </c>
      <c r="I93" s="323" t="s">
        <v>1132</v>
      </c>
      <c r="J93" s="9" t="s">
        <v>1133</v>
      </c>
      <c r="K93" s="10" t="s">
        <v>1134</v>
      </c>
      <c r="L93" s="11">
        <v>1</v>
      </c>
      <c r="M93" s="11"/>
      <c r="N93" s="18">
        <v>1043497</v>
      </c>
      <c r="O93" s="203"/>
      <c r="P93" s="18"/>
      <c r="Q93" s="10"/>
      <c r="R93" s="21"/>
      <c r="S93" s="12" t="s">
        <v>1135</v>
      </c>
      <c r="T93" s="22" t="s">
        <v>311</v>
      </c>
      <c r="U93" s="22" t="s">
        <v>1136</v>
      </c>
      <c r="V93" s="254" t="s">
        <v>1137</v>
      </c>
      <c r="W93" s="14" t="s">
        <v>1138</v>
      </c>
      <c r="X93" s="209"/>
      <c r="Y93" s="209"/>
      <c r="Z93" s="27"/>
      <c r="AA93" s="27"/>
      <c r="AB93" s="28"/>
      <c r="AC93" s="28"/>
      <c r="AD93" s="30"/>
      <c r="AE93" s="31"/>
      <c r="AF93" s="31"/>
      <c r="AG93" s="32"/>
      <c r="AH93" s="33"/>
      <c r="AI93" s="33"/>
      <c r="AJ93" s="33"/>
      <c r="AK93" s="34"/>
      <c r="AL93" s="36"/>
      <c r="AM93" s="36"/>
      <c r="AN93" s="36"/>
      <c r="AO93" s="32"/>
      <c r="AP93" s="40">
        <v>71800</v>
      </c>
      <c r="AQ93" s="41" t="s">
        <v>1139</v>
      </c>
      <c r="AR93" s="43"/>
      <c r="AS93" s="40"/>
      <c r="AT93" s="46" t="s">
        <v>1140</v>
      </c>
    </row>
    <row r="94" customFormat="1" ht="54" customHeight="1" spans="1:46">
      <c r="A94" s="11"/>
      <c r="B94" s="3" t="s">
        <v>1141</v>
      </c>
      <c r="C94" s="186" t="s">
        <v>84</v>
      </c>
      <c r="D94" s="182" t="s">
        <v>599</v>
      </c>
      <c r="E94" s="56" t="s">
        <v>565</v>
      </c>
      <c r="F94" s="3" t="s">
        <v>104</v>
      </c>
      <c r="G94" s="3" t="s">
        <v>50</v>
      </c>
      <c r="H94" s="3" t="s">
        <v>1142</v>
      </c>
      <c r="I94" s="319" t="s">
        <v>107</v>
      </c>
      <c r="J94" s="9" t="s">
        <v>1143</v>
      </c>
      <c r="K94" s="10" t="s">
        <v>1144</v>
      </c>
      <c r="L94" s="11">
        <v>1</v>
      </c>
      <c r="M94" s="11">
        <v>304.5</v>
      </c>
      <c r="N94" s="18">
        <v>209773</v>
      </c>
      <c r="O94" s="203"/>
      <c r="P94" s="18"/>
      <c r="Q94" s="57"/>
      <c r="R94" s="11">
        <v>2</v>
      </c>
      <c r="S94" s="207" t="s">
        <v>1145</v>
      </c>
      <c r="T94" s="208" t="s">
        <v>1146</v>
      </c>
      <c r="U94" s="212"/>
      <c r="V94" s="213" t="s">
        <v>1147</v>
      </c>
      <c r="W94" s="214" t="s">
        <v>66</v>
      </c>
      <c r="X94" s="211" t="s">
        <v>81</v>
      </c>
      <c r="Y94" s="211"/>
      <c r="Z94" s="215"/>
      <c r="AA94" s="215"/>
      <c r="AB94" s="215"/>
      <c r="AC94" s="215"/>
      <c r="AD94" s="216"/>
      <c r="AE94" s="217"/>
      <c r="AF94" s="217"/>
      <c r="AG94" s="218"/>
      <c r="AH94" s="219"/>
      <c r="AI94" s="219"/>
      <c r="AJ94" s="219"/>
      <c r="AK94" s="220"/>
      <c r="AL94" s="5"/>
      <c r="AM94" s="5"/>
      <c r="AN94" s="5"/>
      <c r="AO94" s="218"/>
      <c r="AP94" s="223">
        <v>180000</v>
      </c>
      <c r="AQ94" s="224" t="s">
        <v>1148</v>
      </c>
      <c r="AR94" s="225"/>
      <c r="AS94" s="223"/>
      <c r="AT94" s="231"/>
    </row>
    <row r="95" s="47" customFormat="1" ht="43" customHeight="1" spans="1:46">
      <c r="A95" s="11"/>
      <c r="B95" s="3">
        <v>1027</v>
      </c>
      <c r="C95" s="186" t="s">
        <v>60</v>
      </c>
      <c r="D95" s="182" t="s">
        <v>599</v>
      </c>
      <c r="E95" s="56">
        <v>46109</v>
      </c>
      <c r="F95" s="3" t="s">
        <v>1149</v>
      </c>
      <c r="G95" s="3" t="s">
        <v>50</v>
      </c>
      <c r="H95" s="3" t="s">
        <v>1150</v>
      </c>
      <c r="I95" s="198"/>
      <c r="J95" s="9"/>
      <c r="K95" s="57"/>
      <c r="L95" s="11"/>
      <c r="M95" s="11"/>
      <c r="N95" s="18">
        <v>210226</v>
      </c>
      <c r="O95" s="203"/>
      <c r="P95" s="18"/>
      <c r="Q95" s="57"/>
      <c r="R95" s="11"/>
      <c r="S95" s="207"/>
      <c r="T95" s="208"/>
      <c r="U95" s="212"/>
      <c r="V95" s="213"/>
      <c r="W95" s="214"/>
      <c r="X95" s="211"/>
      <c r="Y95" s="211"/>
      <c r="Z95" s="215"/>
      <c r="AA95" s="215"/>
      <c r="AB95" s="215"/>
      <c r="AC95" s="215"/>
      <c r="AD95" s="216"/>
      <c r="AE95" s="217"/>
      <c r="AF95" s="217"/>
      <c r="AG95" s="218"/>
      <c r="AH95" s="219"/>
      <c r="AI95" s="219"/>
      <c r="AJ95" s="219"/>
      <c r="AK95" s="220"/>
      <c r="AL95" s="5"/>
      <c r="AM95" s="5"/>
      <c r="AN95" s="5"/>
      <c r="AO95" s="218"/>
      <c r="AP95" s="223"/>
      <c r="AQ95" s="224"/>
      <c r="AR95" s="225"/>
      <c r="AS95" s="223"/>
      <c r="AT95" s="231"/>
    </row>
    <row r="96" s="78" customFormat="1" ht="39.75" customHeight="1" spans="1:46">
      <c r="A96" s="11"/>
      <c r="B96" s="3" t="s">
        <v>1151</v>
      </c>
      <c r="C96" s="55" t="s">
        <v>47</v>
      </c>
      <c r="D96" s="182" t="s">
        <v>599</v>
      </c>
      <c r="E96" s="190">
        <v>46109</v>
      </c>
      <c r="F96" s="3"/>
      <c r="G96" s="3" t="s">
        <v>50</v>
      </c>
      <c r="H96" s="233" t="s">
        <v>1152</v>
      </c>
      <c r="I96" s="3"/>
      <c r="J96" s="9"/>
      <c r="K96" s="10"/>
      <c r="L96" s="11"/>
      <c r="M96" s="11"/>
      <c r="N96" s="18">
        <v>412962</v>
      </c>
      <c r="O96" s="203"/>
      <c r="P96" s="18"/>
      <c r="Q96" s="10"/>
      <c r="R96" s="21"/>
      <c r="S96" s="12"/>
      <c r="T96" s="22"/>
      <c r="U96" s="22"/>
      <c r="V96" s="195"/>
      <c r="W96" s="14"/>
      <c r="X96" s="209"/>
      <c r="Y96" s="209"/>
      <c r="Z96" s="27"/>
      <c r="AA96" s="27"/>
      <c r="AB96" s="28"/>
      <c r="AC96" s="28"/>
      <c r="AD96" s="30"/>
      <c r="AE96" s="31"/>
      <c r="AF96" s="31"/>
      <c r="AG96" s="32"/>
      <c r="AH96" s="33"/>
      <c r="AI96" s="33"/>
      <c r="AJ96" s="33"/>
      <c r="AK96" s="34"/>
      <c r="AL96" s="36"/>
      <c r="AM96" s="36"/>
      <c r="AN96" s="36"/>
      <c r="AO96" s="32"/>
      <c r="AP96" s="40"/>
      <c r="AQ96" s="41"/>
      <c r="AR96" s="222"/>
      <c r="AS96" s="40"/>
      <c r="AT96" s="46"/>
    </row>
    <row r="97" ht="51" spans="1:46">
      <c r="A97" s="11">
        <v>56</v>
      </c>
      <c r="B97" s="3" t="s">
        <v>1153</v>
      </c>
      <c r="C97" s="181" t="s">
        <v>84</v>
      </c>
      <c r="D97" s="182" t="s">
        <v>599</v>
      </c>
      <c r="E97" s="10" t="s">
        <v>1154</v>
      </c>
      <c r="F97" s="3" t="s">
        <v>266</v>
      </c>
      <c r="G97" s="3" t="s">
        <v>50</v>
      </c>
      <c r="H97" s="3" t="s">
        <v>1155</v>
      </c>
      <c r="I97" s="198" t="s">
        <v>1156</v>
      </c>
      <c r="J97" s="9" t="s">
        <v>1157</v>
      </c>
      <c r="K97" s="10" t="s">
        <v>649</v>
      </c>
      <c r="L97" s="11">
        <v>1</v>
      </c>
      <c r="M97" s="11">
        <v>350</v>
      </c>
      <c r="N97" s="18">
        <v>174702</v>
      </c>
      <c r="O97" s="203"/>
      <c r="P97" s="18"/>
      <c r="Q97" s="10"/>
      <c r="R97" s="21">
        <v>2</v>
      </c>
      <c r="S97" s="12" t="s">
        <v>304</v>
      </c>
      <c r="T97" s="22" t="s">
        <v>1158</v>
      </c>
      <c r="U97" s="22"/>
      <c r="V97" s="14" t="s">
        <v>1159</v>
      </c>
      <c r="W97" s="14" t="s">
        <v>1160</v>
      </c>
      <c r="X97" s="25">
        <v>0.354166666666667</v>
      </c>
      <c r="Y97" s="25">
        <v>0.958333333333333</v>
      </c>
      <c r="Z97" s="27"/>
      <c r="AA97" s="27"/>
      <c r="AB97" s="28"/>
      <c r="AC97" s="28"/>
      <c r="AD97" s="30"/>
      <c r="AE97" s="31"/>
      <c r="AF97" s="31"/>
      <c r="AG97" s="32"/>
      <c r="AH97" s="33"/>
      <c r="AI97" s="33"/>
      <c r="AJ97" s="33"/>
      <c r="AK97" s="34"/>
      <c r="AL97" s="36"/>
      <c r="AM97" s="36"/>
      <c r="AN97" s="36"/>
      <c r="AO97" s="32"/>
      <c r="AP97" s="40">
        <v>75000</v>
      </c>
      <c r="AQ97" s="41">
        <v>46080</v>
      </c>
      <c r="AR97" s="43">
        <v>99702</v>
      </c>
      <c r="AS97" s="40"/>
      <c r="AT97" s="46" t="s">
        <v>116</v>
      </c>
    </row>
    <row r="98" ht="68" spans="1:46">
      <c r="A98" s="11">
        <v>57</v>
      </c>
      <c r="B98" s="3" t="s">
        <v>1161</v>
      </c>
      <c r="C98" s="181" t="s">
        <v>84</v>
      </c>
      <c r="D98" s="182" t="s">
        <v>599</v>
      </c>
      <c r="E98" s="10" t="s">
        <v>1154</v>
      </c>
      <c r="F98" s="3" t="s">
        <v>1162</v>
      </c>
      <c r="G98" s="3" t="s">
        <v>50</v>
      </c>
      <c r="H98" s="3" t="s">
        <v>1163</v>
      </c>
      <c r="I98" s="198" t="s">
        <v>1164</v>
      </c>
      <c r="J98" s="9" t="s">
        <v>1165</v>
      </c>
      <c r="K98" s="10" t="s">
        <v>212</v>
      </c>
      <c r="L98" s="11">
        <v>1</v>
      </c>
      <c r="M98" s="11">
        <v>360.4</v>
      </c>
      <c r="N98" s="18">
        <v>184267</v>
      </c>
      <c r="O98" s="203"/>
      <c r="P98" s="18"/>
      <c r="Q98" s="10" t="s">
        <v>1166</v>
      </c>
      <c r="R98" s="21">
        <v>1</v>
      </c>
      <c r="S98" s="12" t="s">
        <v>801</v>
      </c>
      <c r="T98" s="22" t="s">
        <v>1167</v>
      </c>
      <c r="U98" s="22"/>
      <c r="V98" s="14" t="s">
        <v>1162</v>
      </c>
      <c r="W98" s="14" t="s">
        <v>1168</v>
      </c>
      <c r="X98" s="25">
        <v>0.145833333333333</v>
      </c>
      <c r="Y98" s="25">
        <v>0.895833333333333</v>
      </c>
      <c r="Z98" s="27"/>
      <c r="AA98" s="27"/>
      <c r="AB98" s="28"/>
      <c r="AC98" s="28"/>
      <c r="AD98" s="30"/>
      <c r="AE98" s="31"/>
      <c r="AF98" s="31"/>
      <c r="AG98" s="32"/>
      <c r="AH98" s="33"/>
      <c r="AI98" s="33"/>
      <c r="AJ98" s="33"/>
      <c r="AK98" s="34"/>
      <c r="AL98" s="36"/>
      <c r="AM98" s="36"/>
      <c r="AN98" s="36"/>
      <c r="AO98" s="32"/>
      <c r="AP98" s="40">
        <v>92133</v>
      </c>
      <c r="AQ98" s="41">
        <v>45694</v>
      </c>
      <c r="AR98" s="43">
        <f t="shared" ref="AR97:AR98" si="5">AP98-(AA98+AE98+AF98)</f>
        <v>92133</v>
      </c>
      <c r="AS98" s="40"/>
      <c r="AT98" s="46" t="s">
        <v>1169</v>
      </c>
    </row>
    <row r="99" ht="39.75" customHeight="1" spans="1:46">
      <c r="A99" s="11">
        <v>58</v>
      </c>
      <c r="B99" s="3" t="s">
        <v>1170</v>
      </c>
      <c r="C99" s="181" t="s">
        <v>84</v>
      </c>
      <c r="D99" s="182" t="s">
        <v>599</v>
      </c>
      <c r="E99" s="10" t="s">
        <v>1171</v>
      </c>
      <c r="F99" s="3" t="s">
        <v>266</v>
      </c>
      <c r="G99" s="3" t="s">
        <v>50</v>
      </c>
      <c r="H99" s="3" t="s">
        <v>1172</v>
      </c>
      <c r="I99" s="198">
        <v>777783103</v>
      </c>
      <c r="J99" s="9" t="s">
        <v>1173</v>
      </c>
      <c r="K99" s="10" t="s">
        <v>122</v>
      </c>
      <c r="L99" s="11">
        <v>1</v>
      </c>
      <c r="M99" s="11">
        <v>347</v>
      </c>
      <c r="N99" s="18">
        <v>80932</v>
      </c>
      <c r="O99" s="203"/>
      <c r="P99" s="18"/>
      <c r="Q99" s="10" t="s">
        <v>1174</v>
      </c>
      <c r="R99" s="21">
        <v>2</v>
      </c>
      <c r="S99" s="12" t="s">
        <v>123</v>
      </c>
      <c r="T99" s="22" t="s">
        <v>124</v>
      </c>
      <c r="U99" s="22" t="s">
        <v>1175</v>
      </c>
      <c r="V99" s="14"/>
      <c r="W99" s="14"/>
      <c r="X99" s="25"/>
      <c r="Y99" s="25"/>
      <c r="Z99" s="27"/>
      <c r="AA99" s="27"/>
      <c r="AB99" s="28"/>
      <c r="AC99" s="28"/>
      <c r="AD99" s="30"/>
      <c r="AE99" s="31"/>
      <c r="AF99" s="31"/>
      <c r="AG99" s="32"/>
      <c r="AH99" s="33"/>
      <c r="AI99" s="33"/>
      <c r="AJ99" s="33"/>
      <c r="AK99" s="34"/>
      <c r="AL99" s="36"/>
      <c r="AM99" s="36"/>
      <c r="AN99" s="36"/>
      <c r="AO99" s="32"/>
      <c r="AP99" s="40">
        <v>40938</v>
      </c>
      <c r="AQ99" s="41">
        <v>46092</v>
      </c>
      <c r="AR99" s="43">
        <v>40000</v>
      </c>
      <c r="AS99" s="40"/>
      <c r="AT99" s="46" t="s">
        <v>1176</v>
      </c>
    </row>
    <row r="100" ht="39.75" customHeight="1" spans="1:46">
      <c r="A100" s="11">
        <v>59</v>
      </c>
      <c r="B100" s="3" t="s">
        <v>1177</v>
      </c>
      <c r="C100" s="181" t="s">
        <v>84</v>
      </c>
      <c r="D100" s="182" t="s">
        <v>599</v>
      </c>
      <c r="E100" s="10" t="s">
        <v>1154</v>
      </c>
      <c r="F100" s="3" t="s">
        <v>1178</v>
      </c>
      <c r="G100" s="3" t="s">
        <v>50</v>
      </c>
      <c r="H100" s="3" t="s">
        <v>1179</v>
      </c>
      <c r="I100" s="198">
        <v>779007776</v>
      </c>
      <c r="J100" s="9" t="s">
        <v>1180</v>
      </c>
      <c r="K100" s="10" t="s">
        <v>1181</v>
      </c>
      <c r="L100" s="11">
        <v>2</v>
      </c>
      <c r="M100" s="11">
        <v>164.5</v>
      </c>
      <c r="N100" s="18">
        <v>234528</v>
      </c>
      <c r="O100" s="203"/>
      <c r="P100" s="18"/>
      <c r="Q100" s="10" t="s">
        <v>1182</v>
      </c>
      <c r="R100" s="21">
        <v>2</v>
      </c>
      <c r="S100" s="12" t="s">
        <v>1183</v>
      </c>
      <c r="T100" s="13" t="s">
        <v>1184</v>
      </c>
      <c r="U100" s="22" t="s">
        <v>1185</v>
      </c>
      <c r="V100" s="14" t="s">
        <v>1186</v>
      </c>
      <c r="W100" s="14" t="s">
        <v>1187</v>
      </c>
      <c r="X100" s="25">
        <v>0.354166666666667</v>
      </c>
      <c r="Y100" s="25">
        <v>0.5</v>
      </c>
      <c r="Z100" s="27"/>
      <c r="AA100" s="27"/>
      <c r="AB100" s="28"/>
      <c r="AC100" s="28"/>
      <c r="AD100" s="30"/>
      <c r="AE100" s="31"/>
      <c r="AF100" s="31"/>
      <c r="AG100" s="32"/>
      <c r="AH100" s="33"/>
      <c r="AI100" s="33"/>
      <c r="AJ100" s="33"/>
      <c r="AK100" s="34"/>
      <c r="AL100" s="36"/>
      <c r="AM100" s="36"/>
      <c r="AN100" s="36"/>
      <c r="AO100" s="32"/>
      <c r="AP100" s="40">
        <v>100000</v>
      </c>
      <c r="AQ100" s="41">
        <v>46077</v>
      </c>
      <c r="AR100" s="43">
        <v>134528</v>
      </c>
      <c r="AS100" s="40"/>
      <c r="AT100" s="46" t="s">
        <v>116</v>
      </c>
    </row>
    <row r="101" ht="39.75" customHeight="1" spans="1:46">
      <c r="A101" s="11"/>
      <c r="B101" s="3" t="s">
        <v>1188</v>
      </c>
      <c r="C101" s="181" t="s">
        <v>1189</v>
      </c>
      <c r="D101" s="182" t="s">
        <v>599</v>
      </c>
      <c r="E101" s="234" t="s">
        <v>1154</v>
      </c>
      <c r="F101" s="235" t="s">
        <v>1190</v>
      </c>
      <c r="G101" s="236" t="s">
        <v>50</v>
      </c>
      <c r="H101" s="3" t="s">
        <v>1191</v>
      </c>
      <c r="I101" s="319" t="s">
        <v>1192</v>
      </c>
      <c r="J101" s="9" t="s">
        <v>1193</v>
      </c>
      <c r="K101" s="10" t="s">
        <v>78</v>
      </c>
      <c r="L101" s="11">
        <v>1</v>
      </c>
      <c r="M101" s="11">
        <v>605.9</v>
      </c>
      <c r="N101" s="18">
        <v>264917</v>
      </c>
      <c r="O101" s="203"/>
      <c r="P101" s="18"/>
      <c r="Q101" s="10"/>
      <c r="R101" s="21">
        <v>2</v>
      </c>
      <c r="S101" s="12" t="s">
        <v>136</v>
      </c>
      <c r="T101" s="22" t="s">
        <v>1194</v>
      </c>
      <c r="U101" s="22"/>
      <c r="V101" s="14"/>
      <c r="W101" s="255"/>
      <c r="X101" s="209"/>
      <c r="Y101" s="209"/>
      <c r="Z101" s="27"/>
      <c r="AA101" s="27"/>
      <c r="AB101" s="28"/>
      <c r="AC101" s="28"/>
      <c r="AD101" s="30"/>
      <c r="AE101" s="31"/>
      <c r="AF101" s="31"/>
      <c r="AG101" s="32"/>
      <c r="AH101" s="33"/>
      <c r="AI101" s="33"/>
      <c r="AJ101" s="33"/>
      <c r="AK101" s="34"/>
      <c r="AL101" s="36"/>
      <c r="AM101" s="36"/>
      <c r="AN101" s="36"/>
      <c r="AO101" s="32"/>
      <c r="AP101" s="37">
        <v>827481</v>
      </c>
      <c r="AQ101" s="38" t="s">
        <v>556</v>
      </c>
      <c r="AR101" s="37">
        <v>827481</v>
      </c>
      <c r="AS101" s="37"/>
      <c r="AT101" s="44" t="s">
        <v>325</v>
      </c>
    </row>
    <row r="102" customFormat="1" ht="39.75" customHeight="1" spans="1:46">
      <c r="A102" s="11"/>
      <c r="B102" s="3" t="s">
        <v>1195</v>
      </c>
      <c r="C102" s="181" t="s">
        <v>84</v>
      </c>
      <c r="D102" s="182" t="s">
        <v>599</v>
      </c>
      <c r="E102" s="234" t="s">
        <v>1154</v>
      </c>
      <c r="F102" s="237" t="s">
        <v>1190</v>
      </c>
      <c r="G102" s="238" t="s">
        <v>50</v>
      </c>
      <c r="H102" s="3" t="s">
        <v>1191</v>
      </c>
      <c r="I102" s="319" t="s">
        <v>1192</v>
      </c>
      <c r="J102" s="9" t="s">
        <v>1196</v>
      </c>
      <c r="K102" s="10" t="s">
        <v>78</v>
      </c>
      <c r="L102" s="11">
        <v>1</v>
      </c>
      <c r="M102" s="11">
        <v>555</v>
      </c>
      <c r="N102" s="18">
        <v>249470</v>
      </c>
      <c r="O102" s="203"/>
      <c r="P102" s="18"/>
      <c r="Q102" s="10"/>
      <c r="R102" s="21">
        <v>2</v>
      </c>
      <c r="S102" s="14" t="s">
        <v>376</v>
      </c>
      <c r="T102" s="22" t="s">
        <v>1197</v>
      </c>
      <c r="U102" s="22" t="s">
        <v>1198</v>
      </c>
      <c r="V102" s="14"/>
      <c r="W102" s="256"/>
      <c r="X102" s="209"/>
      <c r="Y102" s="209"/>
      <c r="Z102" s="27"/>
      <c r="AA102" s="27"/>
      <c r="AB102" s="28"/>
      <c r="AC102" s="28"/>
      <c r="AD102" s="30"/>
      <c r="AE102" s="31"/>
      <c r="AF102" s="31"/>
      <c r="AG102" s="32"/>
      <c r="AH102" s="33"/>
      <c r="AI102" s="33"/>
      <c r="AJ102" s="33"/>
      <c r="AK102" s="34"/>
      <c r="AL102" s="36"/>
      <c r="AM102" s="36"/>
      <c r="AN102" s="36"/>
      <c r="AO102" s="32"/>
      <c r="AP102" s="37"/>
      <c r="AQ102" s="38"/>
      <c r="AR102" s="37"/>
      <c r="AS102" s="37"/>
      <c r="AT102" s="44"/>
    </row>
    <row r="103" customFormat="1" ht="39.75" customHeight="1" spans="1:46">
      <c r="A103" s="11"/>
      <c r="B103" s="3" t="s">
        <v>1199</v>
      </c>
      <c r="C103" s="181" t="s">
        <v>84</v>
      </c>
      <c r="D103" s="182" t="s">
        <v>599</v>
      </c>
      <c r="E103" s="234" t="s">
        <v>1154</v>
      </c>
      <c r="F103" s="237" t="s">
        <v>1190</v>
      </c>
      <c r="G103" s="239" t="s">
        <v>50</v>
      </c>
      <c r="H103" s="3" t="s">
        <v>1191</v>
      </c>
      <c r="I103" s="319" t="s">
        <v>1192</v>
      </c>
      <c r="J103" s="9" t="s">
        <v>1200</v>
      </c>
      <c r="K103" s="10" t="s">
        <v>78</v>
      </c>
      <c r="L103" s="11">
        <v>5</v>
      </c>
      <c r="M103" s="11">
        <v>480</v>
      </c>
      <c r="N103" s="18">
        <v>1140574</v>
      </c>
      <c r="O103" s="203"/>
      <c r="P103" s="18"/>
      <c r="Q103" s="10"/>
      <c r="R103" s="21">
        <v>2</v>
      </c>
      <c r="S103" s="14" t="s">
        <v>1201</v>
      </c>
      <c r="T103" s="13" t="s">
        <v>1202</v>
      </c>
      <c r="U103" s="22"/>
      <c r="V103" s="14"/>
      <c r="W103" s="256"/>
      <c r="X103" s="209"/>
      <c r="Y103" s="209"/>
      <c r="Z103" s="27"/>
      <c r="AA103" s="27"/>
      <c r="AB103" s="28"/>
      <c r="AC103" s="28"/>
      <c r="AD103" s="30"/>
      <c r="AE103" s="31"/>
      <c r="AF103" s="31"/>
      <c r="AG103" s="32"/>
      <c r="AH103" s="33"/>
      <c r="AI103" s="33"/>
      <c r="AJ103" s="33"/>
      <c r="AK103" s="34"/>
      <c r="AL103" s="36"/>
      <c r="AM103" s="36"/>
      <c r="AN103" s="36"/>
      <c r="AO103" s="32"/>
      <c r="AP103" s="40"/>
      <c r="AQ103" s="41"/>
      <c r="AR103" s="40"/>
      <c r="AS103" s="40"/>
      <c r="AT103" s="45"/>
    </row>
    <row r="104" s="78" customFormat="1" ht="52" customHeight="1" spans="1:48">
      <c r="A104" s="11"/>
      <c r="B104" s="3" t="s">
        <v>1203</v>
      </c>
      <c r="C104" s="232" t="s">
        <v>84</v>
      </c>
      <c r="D104" s="182" t="s">
        <v>599</v>
      </c>
      <c r="E104" s="234" t="s">
        <v>1204</v>
      </c>
      <c r="F104" s="237" t="s">
        <v>1205</v>
      </c>
      <c r="G104" s="238" t="s">
        <v>50</v>
      </c>
      <c r="H104" s="3" t="s">
        <v>1206</v>
      </c>
      <c r="I104" s="319" t="s">
        <v>1207</v>
      </c>
      <c r="J104" s="9" t="s">
        <v>1208</v>
      </c>
      <c r="K104" s="10" t="s">
        <v>1209</v>
      </c>
      <c r="L104" s="11">
        <v>1</v>
      </c>
      <c r="M104" s="11">
        <v>555</v>
      </c>
      <c r="N104" s="18">
        <v>262974</v>
      </c>
      <c r="O104" s="203"/>
      <c r="P104" s="18"/>
      <c r="Q104" s="10"/>
      <c r="R104" s="21">
        <v>1</v>
      </c>
      <c r="S104" s="12" t="s">
        <v>110</v>
      </c>
      <c r="T104" s="22" t="s">
        <v>1210</v>
      </c>
      <c r="U104" s="22" t="s">
        <v>112</v>
      </c>
      <c r="V104" s="14" t="s">
        <v>1211</v>
      </c>
      <c r="W104" s="256" t="s">
        <v>1212</v>
      </c>
      <c r="X104" s="209" t="s">
        <v>68</v>
      </c>
      <c r="Y104" s="209" t="s">
        <v>1213</v>
      </c>
      <c r="Z104" s="27"/>
      <c r="AA104" s="27"/>
      <c r="AB104" s="28"/>
      <c r="AC104" s="28"/>
      <c r="AD104" s="30"/>
      <c r="AE104" s="31"/>
      <c r="AF104" s="31"/>
      <c r="AG104" s="32"/>
      <c r="AH104" s="33"/>
      <c r="AI104" s="33"/>
      <c r="AJ104" s="33"/>
      <c r="AK104" s="34"/>
      <c r="AL104" s="36"/>
      <c r="AM104" s="36"/>
      <c r="AN104" s="36"/>
      <c r="AO104" s="32"/>
      <c r="AP104" s="40">
        <v>131000</v>
      </c>
      <c r="AQ104" s="41" t="s">
        <v>1214</v>
      </c>
      <c r="AR104" s="222">
        <v>131974</v>
      </c>
      <c r="AS104" s="40" t="s">
        <v>1148</v>
      </c>
      <c r="AT104" s="46" t="s">
        <v>116</v>
      </c>
      <c r="AU104" s="170"/>
      <c r="AV104" s="170"/>
    </row>
    <row r="105" s="78" customFormat="1" ht="39.75" customHeight="1" spans="1:48">
      <c r="A105" s="11">
        <v>60</v>
      </c>
      <c r="B105" s="3" t="s">
        <v>1215</v>
      </c>
      <c r="C105" s="52" t="s">
        <v>47</v>
      </c>
      <c r="D105" s="182" t="s">
        <v>599</v>
      </c>
      <c r="E105" s="234">
        <v>46112</v>
      </c>
      <c r="F105" s="237" t="s">
        <v>1216</v>
      </c>
      <c r="G105" s="238" t="s">
        <v>50</v>
      </c>
      <c r="H105" s="3" t="s">
        <v>1217</v>
      </c>
      <c r="I105" s="198">
        <v>777624984</v>
      </c>
      <c r="J105" s="9" t="s">
        <v>1218</v>
      </c>
      <c r="K105" s="10" t="s">
        <v>1219</v>
      </c>
      <c r="L105" s="11">
        <v>1</v>
      </c>
      <c r="M105" s="245">
        <v>214.9</v>
      </c>
      <c r="N105" s="18">
        <v>100264</v>
      </c>
      <c r="O105" s="203"/>
      <c r="P105" s="18"/>
      <c r="Q105" s="10"/>
      <c r="R105" s="21">
        <v>1</v>
      </c>
      <c r="S105" s="12"/>
      <c r="T105" s="22"/>
      <c r="U105" s="22"/>
      <c r="V105" s="14" t="s">
        <v>1220</v>
      </c>
      <c r="W105" s="256" t="s">
        <v>1221</v>
      </c>
      <c r="X105" s="209" t="s">
        <v>99</v>
      </c>
      <c r="Y105" s="209" t="s">
        <v>358</v>
      </c>
      <c r="Z105" s="27"/>
      <c r="AA105" s="27"/>
      <c r="AB105" s="28"/>
      <c r="AC105" s="28"/>
      <c r="AD105" s="30"/>
      <c r="AE105" s="31"/>
      <c r="AF105" s="31"/>
      <c r="AG105" s="32"/>
      <c r="AH105" s="33"/>
      <c r="AI105" s="33"/>
      <c r="AJ105" s="33"/>
      <c r="AK105" s="34"/>
      <c r="AL105" s="36"/>
      <c r="AM105" s="36"/>
      <c r="AN105" s="36"/>
      <c r="AO105" s="32"/>
      <c r="AP105" s="40">
        <v>5000</v>
      </c>
      <c r="AQ105" s="41">
        <v>46093</v>
      </c>
      <c r="AR105" s="222">
        <v>95264</v>
      </c>
      <c r="AS105" s="40"/>
      <c r="AT105" s="46"/>
      <c r="AU105" s="170"/>
      <c r="AV105" s="170"/>
    </row>
    <row r="106" s="78" customFormat="1" ht="40.5" customHeight="1" spans="1:48">
      <c r="A106" s="11"/>
      <c r="B106" s="3" t="s">
        <v>46</v>
      </c>
      <c r="C106" s="60" t="s">
        <v>47</v>
      </c>
      <c r="D106" s="182" t="s">
        <v>48</v>
      </c>
      <c r="E106" s="6">
        <v>46057</v>
      </c>
      <c r="F106" s="237" t="s">
        <v>1222</v>
      </c>
      <c r="G106" s="239" t="s">
        <v>50</v>
      </c>
      <c r="H106" s="3" t="s">
        <v>51</v>
      </c>
      <c r="I106" s="242" t="s">
        <v>52</v>
      </c>
      <c r="J106" s="9" t="s">
        <v>53</v>
      </c>
      <c r="K106" s="10" t="s">
        <v>54</v>
      </c>
      <c r="L106" s="11">
        <v>5</v>
      </c>
      <c r="M106" s="11">
        <v>37.3</v>
      </c>
      <c r="N106" s="18">
        <v>397629</v>
      </c>
      <c r="O106" s="203"/>
      <c r="P106" s="18"/>
      <c r="Q106" s="10"/>
      <c r="R106" s="21">
        <v>1</v>
      </c>
      <c r="S106" s="12"/>
      <c r="T106" s="22"/>
      <c r="U106" s="22"/>
      <c r="V106" s="14"/>
      <c r="W106" s="24"/>
      <c r="X106" s="209"/>
      <c r="Y106" s="209"/>
      <c r="Z106" s="27"/>
      <c r="AA106" s="27"/>
      <c r="AB106" s="28"/>
      <c r="AC106" s="28"/>
      <c r="AD106" s="30"/>
      <c r="AE106" s="31"/>
      <c r="AF106" s="31"/>
      <c r="AG106" s="32"/>
      <c r="AH106" s="33"/>
      <c r="AI106" s="33"/>
      <c r="AJ106" s="33"/>
      <c r="AK106" s="34"/>
      <c r="AL106" s="36"/>
      <c r="AM106" s="36"/>
      <c r="AN106" s="36"/>
      <c r="AO106" s="32"/>
      <c r="AP106" s="40"/>
      <c r="AQ106" s="41"/>
      <c r="AR106" s="222"/>
      <c r="AS106" s="40"/>
      <c r="AT106" s="46"/>
      <c r="AU106" s="170"/>
      <c r="AV106" s="170"/>
    </row>
    <row r="107" s="78" customFormat="1" ht="40.5" customHeight="1" spans="1:48">
      <c r="A107" s="11"/>
      <c r="B107" s="3" t="s">
        <v>55</v>
      </c>
      <c r="C107" s="60" t="s">
        <v>47</v>
      </c>
      <c r="D107" s="182" t="s">
        <v>48</v>
      </c>
      <c r="E107" s="6">
        <v>46057</v>
      </c>
      <c r="F107" s="237" t="s">
        <v>1223</v>
      </c>
      <c r="G107" s="239" t="s">
        <v>50</v>
      </c>
      <c r="H107" s="3" t="s">
        <v>51</v>
      </c>
      <c r="I107" s="316" t="s">
        <v>57</v>
      </c>
      <c r="J107" s="9" t="s">
        <v>58</v>
      </c>
      <c r="K107" s="10" t="s">
        <v>54</v>
      </c>
      <c r="L107" s="11">
        <v>5</v>
      </c>
      <c r="M107" s="11">
        <v>105.6</v>
      </c>
      <c r="N107" s="18">
        <v>433117</v>
      </c>
      <c r="O107" s="203"/>
      <c r="P107" s="18"/>
      <c r="Q107" s="10"/>
      <c r="R107" s="21">
        <v>1</v>
      </c>
      <c r="S107" s="12"/>
      <c r="T107" s="22"/>
      <c r="U107" s="22"/>
      <c r="V107" s="14"/>
      <c r="W107" s="24"/>
      <c r="X107" s="209"/>
      <c r="Y107" s="209"/>
      <c r="Z107" s="27"/>
      <c r="AA107" s="27"/>
      <c r="AB107" s="28"/>
      <c r="AC107" s="28"/>
      <c r="AD107" s="30"/>
      <c r="AE107" s="31"/>
      <c r="AF107" s="31"/>
      <c r="AG107" s="32"/>
      <c r="AH107" s="33"/>
      <c r="AI107" s="33"/>
      <c r="AJ107" s="33"/>
      <c r="AK107" s="34"/>
      <c r="AL107" s="36"/>
      <c r="AM107" s="36"/>
      <c r="AN107" s="36"/>
      <c r="AO107" s="32"/>
      <c r="AP107" s="40"/>
      <c r="AQ107" s="41"/>
      <c r="AR107" s="222"/>
      <c r="AS107" s="40"/>
      <c r="AT107" s="46"/>
      <c r="AU107" s="170"/>
      <c r="AV107" s="170"/>
    </row>
    <row r="108" s="78" customFormat="1" ht="40.5" customHeight="1" spans="1:48">
      <c r="A108" s="11"/>
      <c r="B108" s="3" t="s">
        <v>59</v>
      </c>
      <c r="C108" s="60" t="s">
        <v>47</v>
      </c>
      <c r="D108" s="182" t="s">
        <v>48</v>
      </c>
      <c r="E108" s="6">
        <v>46057</v>
      </c>
      <c r="F108" s="3" t="s">
        <v>1224</v>
      </c>
      <c r="G108" s="3" t="s">
        <v>50</v>
      </c>
      <c r="H108" s="3" t="s">
        <v>62</v>
      </c>
      <c r="I108" s="240" t="s">
        <v>63</v>
      </c>
      <c r="J108" s="9" t="s">
        <v>64</v>
      </c>
      <c r="K108" s="10" t="s">
        <v>65</v>
      </c>
      <c r="L108" s="11">
        <v>1</v>
      </c>
      <c r="M108" s="11">
        <v>186</v>
      </c>
      <c r="N108" s="18">
        <v>98379</v>
      </c>
      <c r="O108" s="203"/>
      <c r="P108" s="18"/>
      <c r="Q108" s="10"/>
      <c r="R108" s="21">
        <v>1</v>
      </c>
      <c r="S108" s="12"/>
      <c r="T108" s="22"/>
      <c r="U108" s="22"/>
      <c r="V108" s="14" t="s">
        <v>66</v>
      </c>
      <c r="W108" s="24" t="s">
        <v>67</v>
      </c>
      <c r="X108" s="209" t="s">
        <v>68</v>
      </c>
      <c r="Y108" s="209" t="s">
        <v>69</v>
      </c>
      <c r="Z108" s="27"/>
      <c r="AA108" s="27"/>
      <c r="AB108" s="28"/>
      <c r="AC108" s="28"/>
      <c r="AD108" s="30"/>
      <c r="AE108" s="31"/>
      <c r="AF108" s="31"/>
      <c r="AG108" s="32"/>
      <c r="AH108" s="33"/>
      <c r="AI108" s="33"/>
      <c r="AJ108" s="33"/>
      <c r="AK108" s="34"/>
      <c r="AL108" s="36"/>
      <c r="AM108" s="36"/>
      <c r="AN108" s="36"/>
      <c r="AO108" s="32"/>
      <c r="AP108" s="40">
        <v>50000</v>
      </c>
      <c r="AQ108" s="41">
        <v>46094</v>
      </c>
      <c r="AR108" s="222"/>
      <c r="AS108" s="40"/>
      <c r="AT108" s="46"/>
      <c r="AU108" s="170"/>
      <c r="AV108" s="170"/>
    </row>
    <row r="109" s="78" customFormat="1" ht="40.5" customHeight="1" spans="1:48">
      <c r="A109" s="11"/>
      <c r="B109" s="3" t="s">
        <v>70</v>
      </c>
      <c r="C109" s="60" t="s">
        <v>47</v>
      </c>
      <c r="D109" s="182" t="s">
        <v>48</v>
      </c>
      <c r="E109" s="190">
        <v>46114</v>
      </c>
      <c r="F109" s="3" t="s">
        <v>1225</v>
      </c>
      <c r="G109" s="3" t="s">
        <v>50</v>
      </c>
      <c r="H109" s="3" t="s">
        <v>62</v>
      </c>
      <c r="I109" s="243">
        <v>768261890</v>
      </c>
      <c r="J109" s="9" t="s">
        <v>64</v>
      </c>
      <c r="K109" s="10" t="s">
        <v>72</v>
      </c>
      <c r="L109" s="11">
        <v>1</v>
      </c>
      <c r="M109" s="11">
        <v>186</v>
      </c>
      <c r="N109" s="18">
        <v>97342</v>
      </c>
      <c r="O109" s="203"/>
      <c r="P109" s="18"/>
      <c r="Q109" s="10"/>
      <c r="R109" s="21">
        <v>1</v>
      </c>
      <c r="S109" s="12"/>
      <c r="T109" s="22"/>
      <c r="U109" s="22"/>
      <c r="V109" s="14" t="s">
        <v>66</v>
      </c>
      <c r="W109" s="24" t="s">
        <v>67</v>
      </c>
      <c r="X109" s="209" t="s">
        <v>68</v>
      </c>
      <c r="Y109" s="209" t="s">
        <v>73</v>
      </c>
      <c r="Z109" s="27"/>
      <c r="AA109" s="27"/>
      <c r="AB109" s="28"/>
      <c r="AC109" s="28"/>
      <c r="AD109" s="30"/>
      <c r="AE109" s="31"/>
      <c r="AF109" s="31"/>
      <c r="AG109" s="32"/>
      <c r="AH109" s="33"/>
      <c r="AI109" s="33"/>
      <c r="AJ109" s="33"/>
      <c r="AK109" s="34"/>
      <c r="AL109" s="36"/>
      <c r="AM109" s="36"/>
      <c r="AN109" s="36"/>
      <c r="AO109" s="32"/>
      <c r="AP109" s="40">
        <v>50000</v>
      </c>
      <c r="AQ109" s="41">
        <v>46094</v>
      </c>
      <c r="AR109" s="222"/>
      <c r="AS109" s="40"/>
      <c r="AT109" s="46"/>
      <c r="AU109" s="170"/>
      <c r="AV109" s="170"/>
    </row>
    <row r="110" s="78" customFormat="1" ht="40.5" customHeight="1" spans="1:48">
      <c r="A110" s="11">
        <v>61</v>
      </c>
      <c r="B110" s="3" t="s">
        <v>74</v>
      </c>
      <c r="C110" s="60" t="s">
        <v>60</v>
      </c>
      <c r="D110" s="182" t="s">
        <v>48</v>
      </c>
      <c r="E110" s="6">
        <v>46057</v>
      </c>
      <c r="F110" s="3" t="s">
        <v>1226</v>
      </c>
      <c r="G110" s="3" t="s">
        <v>50</v>
      </c>
      <c r="H110" s="3" t="s">
        <v>76</v>
      </c>
      <c r="I110" s="244">
        <v>769838264</v>
      </c>
      <c r="J110" s="9" t="s">
        <v>77</v>
      </c>
      <c r="K110" s="10" t="s">
        <v>78</v>
      </c>
      <c r="L110" s="11">
        <v>1</v>
      </c>
      <c r="M110" s="11">
        <v>229</v>
      </c>
      <c r="N110" s="246">
        <v>113479</v>
      </c>
      <c r="O110" s="247"/>
      <c r="P110" s="18"/>
      <c r="Q110" s="10"/>
      <c r="R110" s="21">
        <v>1</v>
      </c>
      <c r="S110" s="12"/>
      <c r="T110" s="22"/>
      <c r="U110" s="22"/>
      <c r="V110" s="14" t="s">
        <v>66</v>
      </c>
      <c r="W110" s="24" t="s">
        <v>79</v>
      </c>
      <c r="X110" s="209" t="s">
        <v>80</v>
      </c>
      <c r="Y110" s="209" t="s">
        <v>81</v>
      </c>
      <c r="Z110" s="27"/>
      <c r="AA110" s="27"/>
      <c r="AB110" s="28"/>
      <c r="AC110" s="28"/>
      <c r="AD110" s="30"/>
      <c r="AE110" s="31"/>
      <c r="AF110" s="31"/>
      <c r="AG110" s="32"/>
      <c r="AH110" s="33"/>
      <c r="AI110" s="33"/>
      <c r="AJ110" s="33"/>
      <c r="AK110" s="34"/>
      <c r="AL110" s="36"/>
      <c r="AM110" s="36"/>
      <c r="AN110" s="36"/>
      <c r="AO110" s="32"/>
      <c r="AP110" s="40">
        <v>60000</v>
      </c>
      <c r="AQ110" s="41">
        <v>46095</v>
      </c>
      <c r="AR110" s="222">
        <v>-53479</v>
      </c>
      <c r="AS110" s="40"/>
      <c r="AT110" s="46" t="s">
        <v>82</v>
      </c>
      <c r="AU110" s="170"/>
      <c r="AV110" s="170"/>
    </row>
    <row r="111" ht="40.5" customHeight="1" spans="1:46">
      <c r="A111" s="11"/>
      <c r="B111" s="187" t="s">
        <v>83</v>
      </c>
      <c r="C111" s="4" t="s">
        <v>389</v>
      </c>
      <c r="D111" s="182" t="s">
        <v>48</v>
      </c>
      <c r="E111" s="6">
        <v>46057</v>
      </c>
      <c r="F111" s="3" t="s">
        <v>85</v>
      </c>
      <c r="G111" s="3" t="s">
        <v>86</v>
      </c>
      <c r="H111" s="3" t="s">
        <v>87</v>
      </c>
      <c r="I111" s="317" t="s">
        <v>88</v>
      </c>
      <c r="J111" s="9" t="s">
        <v>89</v>
      </c>
      <c r="K111" s="10" t="s">
        <v>90</v>
      </c>
      <c r="L111" s="11">
        <v>5</v>
      </c>
      <c r="M111" s="11">
        <v>4.5</v>
      </c>
      <c r="N111" s="248">
        <v>55234</v>
      </c>
      <c r="O111" s="17"/>
      <c r="P111" s="18"/>
      <c r="Q111" s="10"/>
      <c r="R111" s="21"/>
      <c r="S111" s="12"/>
      <c r="T111" s="22"/>
      <c r="U111" s="22"/>
      <c r="V111" s="14" t="s">
        <v>85</v>
      </c>
      <c r="W111" s="24" t="s">
        <v>91</v>
      </c>
      <c r="X111" s="209" t="s">
        <v>81</v>
      </c>
      <c r="Y111" s="209" t="s">
        <v>92</v>
      </c>
      <c r="Z111" s="27"/>
      <c r="AA111" s="27"/>
      <c r="AB111" s="28"/>
      <c r="AC111" s="28"/>
      <c r="AD111" s="30"/>
      <c r="AE111" s="31"/>
      <c r="AF111" s="31"/>
      <c r="AG111" s="32"/>
      <c r="AH111" s="33"/>
      <c r="AI111" s="33"/>
      <c r="AJ111" s="33"/>
      <c r="AK111" s="34"/>
      <c r="AL111" s="36"/>
      <c r="AM111" s="36"/>
      <c r="AN111" s="36"/>
      <c r="AO111" s="32"/>
      <c r="AP111" s="40"/>
      <c r="AQ111" s="41"/>
      <c r="AR111" s="43"/>
      <c r="AS111" s="40"/>
      <c r="AT111" s="46"/>
    </row>
    <row r="112" s="78" customFormat="1" ht="40.5" customHeight="1" spans="1:46">
      <c r="A112" s="11"/>
      <c r="B112" s="187" t="s">
        <v>93</v>
      </c>
      <c r="C112" s="60" t="s">
        <v>47</v>
      </c>
      <c r="D112" s="182" t="s">
        <v>48</v>
      </c>
      <c r="E112" s="6">
        <v>46057</v>
      </c>
      <c r="F112" s="3" t="s">
        <v>1227</v>
      </c>
      <c r="G112" s="3" t="s">
        <v>50</v>
      </c>
      <c r="H112" s="3" t="s">
        <v>95</v>
      </c>
      <c r="I112" s="244">
        <v>777550478</v>
      </c>
      <c r="J112" s="9" t="s">
        <v>96</v>
      </c>
      <c r="K112" s="10" t="s">
        <v>97</v>
      </c>
      <c r="L112" s="11">
        <v>1</v>
      </c>
      <c r="M112" s="11">
        <v>173.2</v>
      </c>
      <c r="N112" s="249">
        <v>101755</v>
      </c>
      <c r="O112" s="20"/>
      <c r="P112" s="18"/>
      <c r="Q112" s="10"/>
      <c r="R112" s="21">
        <v>1</v>
      </c>
      <c r="S112" s="12"/>
      <c r="T112" s="22"/>
      <c r="U112" s="22"/>
      <c r="V112" s="14" t="s">
        <v>66</v>
      </c>
      <c r="W112" s="24" t="s">
        <v>98</v>
      </c>
      <c r="X112" s="209" t="s">
        <v>99</v>
      </c>
      <c r="Y112" s="209" t="s">
        <v>100</v>
      </c>
      <c r="Z112" s="27"/>
      <c r="AA112" s="27"/>
      <c r="AB112" s="28"/>
      <c r="AC112" s="28"/>
      <c r="AD112" s="30"/>
      <c r="AE112" s="31"/>
      <c r="AF112" s="31"/>
      <c r="AG112" s="32"/>
      <c r="AH112" s="33"/>
      <c r="AI112" s="33"/>
      <c r="AJ112" s="33"/>
      <c r="AK112" s="34"/>
      <c r="AL112" s="36"/>
      <c r="AM112" s="36"/>
      <c r="AN112" s="36"/>
      <c r="AO112" s="32"/>
      <c r="AP112" s="40">
        <v>50000</v>
      </c>
      <c r="AQ112" s="41">
        <v>46091</v>
      </c>
      <c r="AR112" s="222">
        <v>-51755</v>
      </c>
      <c r="AS112" s="40"/>
      <c r="AT112" s="122"/>
    </row>
    <row r="113" customFormat="1" ht="40.5" customHeight="1" spans="1:46">
      <c r="A113" s="11">
        <v>74</v>
      </c>
      <c r="B113" s="3" t="s">
        <v>117</v>
      </c>
      <c r="C113" s="4" t="s">
        <v>389</v>
      </c>
      <c r="D113" s="182" t="s">
        <v>48</v>
      </c>
      <c r="E113" s="6">
        <v>46085</v>
      </c>
      <c r="F113" s="3" t="s">
        <v>118</v>
      </c>
      <c r="G113" s="3" t="s">
        <v>50</v>
      </c>
      <c r="H113" s="3" t="s">
        <v>120</v>
      </c>
      <c r="I113" s="242">
        <v>777282638</v>
      </c>
      <c r="J113" s="9" t="s">
        <v>121</v>
      </c>
      <c r="K113" s="10" t="s">
        <v>122</v>
      </c>
      <c r="L113" s="11">
        <v>1</v>
      </c>
      <c r="M113" s="11">
        <v>96.2</v>
      </c>
      <c r="N113" s="18">
        <v>32713</v>
      </c>
      <c r="O113" s="203"/>
      <c r="P113" s="18"/>
      <c r="Q113" s="10"/>
      <c r="R113" s="21">
        <v>1</v>
      </c>
      <c r="S113" s="12"/>
      <c r="T113" s="22"/>
      <c r="U113" s="22"/>
      <c r="V113" s="14" t="s">
        <v>125</v>
      </c>
      <c r="W113" s="24" t="s">
        <v>126</v>
      </c>
      <c r="X113" s="209" t="s">
        <v>100</v>
      </c>
      <c r="Y113" s="209" t="s">
        <v>127</v>
      </c>
      <c r="Z113" s="27"/>
      <c r="AA113" s="27"/>
      <c r="AB113" s="28"/>
      <c r="AC113" s="28"/>
      <c r="AD113" s="30"/>
      <c r="AE113" s="31"/>
      <c r="AF113" s="31"/>
      <c r="AG113" s="32"/>
      <c r="AH113" s="33"/>
      <c r="AI113" s="33"/>
      <c r="AJ113" s="33"/>
      <c r="AK113" s="34"/>
      <c r="AL113" s="36"/>
      <c r="AM113" s="36"/>
      <c r="AN113" s="36"/>
      <c r="AO113" s="32"/>
      <c r="AP113" s="40">
        <v>15000</v>
      </c>
      <c r="AQ113" s="41">
        <v>46090</v>
      </c>
      <c r="AR113" s="43">
        <v>17713</v>
      </c>
      <c r="AS113" s="40"/>
      <c r="AT113" s="46" t="s">
        <v>116</v>
      </c>
    </row>
    <row r="114" customFormat="1" ht="60" customHeight="1" spans="1:46">
      <c r="A114" s="11"/>
      <c r="B114" s="3" t="s">
        <v>128</v>
      </c>
      <c r="C114" s="4" t="s">
        <v>389</v>
      </c>
      <c r="D114" s="182" t="s">
        <v>48</v>
      </c>
      <c r="E114" s="6">
        <v>46085</v>
      </c>
      <c r="F114" s="3" t="s">
        <v>130</v>
      </c>
      <c r="G114" s="3" t="s">
        <v>50</v>
      </c>
      <c r="H114" s="3" t="s">
        <v>132</v>
      </c>
      <c r="I114" s="316" t="s">
        <v>133</v>
      </c>
      <c r="J114" s="9" t="s">
        <v>134</v>
      </c>
      <c r="K114" s="10" t="s">
        <v>135</v>
      </c>
      <c r="L114" s="11">
        <v>1</v>
      </c>
      <c r="M114" s="11">
        <v>477.2</v>
      </c>
      <c r="N114" s="250">
        <v>211616</v>
      </c>
      <c r="O114" s="247"/>
      <c r="P114" s="18"/>
      <c r="Q114" s="10"/>
      <c r="R114" s="21">
        <v>2</v>
      </c>
      <c r="S114" s="12"/>
      <c r="T114" s="22"/>
      <c r="U114" s="22"/>
      <c r="V114" s="14" t="s">
        <v>139</v>
      </c>
      <c r="W114" s="24" t="s">
        <v>140</v>
      </c>
      <c r="X114" s="25" t="s">
        <v>100</v>
      </c>
      <c r="Y114" s="25" t="s">
        <v>141</v>
      </c>
      <c r="Z114" s="27"/>
      <c r="AA114" s="27"/>
      <c r="AB114" s="28"/>
      <c r="AC114" s="28"/>
      <c r="AD114" s="30"/>
      <c r="AE114" s="31"/>
      <c r="AF114" s="31"/>
      <c r="AG114" s="32"/>
      <c r="AH114" s="33"/>
      <c r="AI114" s="33"/>
      <c r="AJ114" s="33"/>
      <c r="AK114" s="34"/>
      <c r="AL114" s="36"/>
      <c r="AM114" s="36"/>
      <c r="AN114" s="36"/>
      <c r="AO114" s="32"/>
      <c r="AP114" s="37">
        <v>211616</v>
      </c>
      <c r="AQ114" s="38" t="s">
        <v>142</v>
      </c>
      <c r="AR114" s="43"/>
      <c r="AS114" s="40"/>
      <c r="AT114" s="46" t="s">
        <v>116</v>
      </c>
    </row>
    <row r="115" customFormat="1" ht="46" customHeight="1" spans="1:46">
      <c r="A115" s="11"/>
      <c r="B115" s="3" t="s">
        <v>1228</v>
      </c>
      <c r="C115" s="4" t="s">
        <v>389</v>
      </c>
      <c r="D115" s="182" t="s">
        <v>48</v>
      </c>
      <c r="E115" s="6" t="s">
        <v>163</v>
      </c>
      <c r="F115" s="3" t="s">
        <v>164</v>
      </c>
      <c r="G115" s="3" t="s">
        <v>50</v>
      </c>
      <c r="H115" s="3" t="s">
        <v>165</v>
      </c>
      <c r="I115" s="318" t="s">
        <v>166</v>
      </c>
      <c r="J115" s="9" t="s">
        <v>167</v>
      </c>
      <c r="K115" s="10" t="s">
        <v>168</v>
      </c>
      <c r="L115" s="11">
        <v>2</v>
      </c>
      <c r="M115" s="11">
        <v>390</v>
      </c>
      <c r="N115" s="16">
        <v>439621</v>
      </c>
      <c r="O115" s="17"/>
      <c r="P115" s="18"/>
      <c r="Q115" s="10"/>
      <c r="R115" s="21">
        <v>1</v>
      </c>
      <c r="S115" s="12"/>
      <c r="T115" s="22"/>
      <c r="U115" s="22"/>
      <c r="V115" s="14" t="s">
        <v>172</v>
      </c>
      <c r="W115" s="24" t="s">
        <v>173</v>
      </c>
      <c r="X115" s="25" t="s">
        <v>174</v>
      </c>
      <c r="Y115" s="25" t="s">
        <v>68</v>
      </c>
      <c r="Z115" s="27"/>
      <c r="AA115" s="27"/>
      <c r="AB115" s="28"/>
      <c r="AC115" s="28"/>
      <c r="AD115" s="30"/>
      <c r="AE115" s="31"/>
      <c r="AF115" s="31"/>
      <c r="AG115" s="32"/>
      <c r="AH115" s="33"/>
      <c r="AI115" s="33"/>
      <c r="AJ115" s="33"/>
      <c r="AK115" s="34"/>
      <c r="AL115" s="36"/>
      <c r="AM115" s="36"/>
      <c r="AN115" s="36"/>
      <c r="AO115" s="32"/>
      <c r="AP115" s="37">
        <v>500000</v>
      </c>
      <c r="AQ115" s="38" t="s">
        <v>175</v>
      </c>
      <c r="AR115" s="43">
        <v>189621</v>
      </c>
      <c r="AS115" s="40"/>
      <c r="AT115" s="46"/>
    </row>
    <row r="116" ht="33" customHeight="1" spans="1:46">
      <c r="A116" s="11"/>
      <c r="B116" s="3" t="s">
        <v>176</v>
      </c>
      <c r="C116" s="4" t="s">
        <v>389</v>
      </c>
      <c r="D116" s="182" t="s">
        <v>48</v>
      </c>
      <c r="E116" s="6" t="s">
        <v>177</v>
      </c>
      <c r="F116" s="3" t="s">
        <v>164</v>
      </c>
      <c r="G116" s="3" t="s">
        <v>50</v>
      </c>
      <c r="H116" s="3" t="s">
        <v>165</v>
      </c>
      <c r="I116" s="318" t="s">
        <v>166</v>
      </c>
      <c r="J116" s="9" t="s">
        <v>167</v>
      </c>
      <c r="K116" s="10" t="s">
        <v>168</v>
      </c>
      <c r="L116" s="11">
        <v>3</v>
      </c>
      <c r="M116" s="11">
        <v>390</v>
      </c>
      <c r="N116" s="19">
        <v>659432</v>
      </c>
      <c r="O116" s="20"/>
      <c r="P116" s="18"/>
      <c r="Q116" s="10"/>
      <c r="R116" s="21">
        <v>1</v>
      </c>
      <c r="S116" s="12"/>
      <c r="T116" s="22"/>
      <c r="U116" s="22"/>
      <c r="V116" s="14" t="s">
        <v>172</v>
      </c>
      <c r="W116" s="24" t="s">
        <v>173</v>
      </c>
      <c r="X116" s="25" t="s">
        <v>174</v>
      </c>
      <c r="Y116" s="25" t="s">
        <v>68</v>
      </c>
      <c r="Z116" s="27"/>
      <c r="AA116" s="27"/>
      <c r="AB116" s="28"/>
      <c r="AC116" s="28"/>
      <c r="AD116" s="30"/>
      <c r="AE116" s="31"/>
      <c r="AF116" s="31"/>
      <c r="AG116" s="32"/>
      <c r="AH116" s="33"/>
      <c r="AI116" s="33"/>
      <c r="AJ116" s="33"/>
      <c r="AK116" s="34"/>
      <c r="AL116" s="36"/>
      <c r="AM116" s="36"/>
      <c r="AN116" s="36"/>
      <c r="AO116" s="32"/>
      <c r="AP116" s="40"/>
      <c r="AQ116" s="41"/>
      <c r="AR116" s="43">
        <v>409432</v>
      </c>
      <c r="AS116" s="40"/>
      <c r="AT116" s="46"/>
    </row>
    <row r="117" ht="29" spans="1:46">
      <c r="A117" s="11">
        <v>75</v>
      </c>
      <c r="B117" s="3" t="s">
        <v>200</v>
      </c>
      <c r="C117" s="4" t="s">
        <v>60</v>
      </c>
      <c r="D117" s="182" t="s">
        <v>48</v>
      </c>
      <c r="E117" s="6">
        <v>46207</v>
      </c>
      <c r="F117" s="3" t="s">
        <v>201</v>
      </c>
      <c r="G117" s="3" t="s">
        <v>86</v>
      </c>
      <c r="H117" s="3" t="s">
        <v>202</v>
      </c>
      <c r="I117" s="8">
        <v>725354995</v>
      </c>
      <c r="J117" s="9" t="s">
        <v>203</v>
      </c>
      <c r="K117" s="10" t="s">
        <v>90</v>
      </c>
      <c r="L117" s="11">
        <v>4</v>
      </c>
      <c r="M117" s="11">
        <v>227.8</v>
      </c>
      <c r="N117" s="18">
        <v>242006</v>
      </c>
      <c r="O117" s="203"/>
      <c r="P117" s="18"/>
      <c r="Q117" s="10"/>
      <c r="R117" s="21">
        <v>1</v>
      </c>
      <c r="S117" s="12"/>
      <c r="T117" s="22"/>
      <c r="U117" s="22"/>
      <c r="V117" s="14" t="s">
        <v>201</v>
      </c>
      <c r="W117" s="26" t="s">
        <v>204</v>
      </c>
      <c r="X117" s="25" t="s">
        <v>205</v>
      </c>
      <c r="Y117" s="25" t="s">
        <v>206</v>
      </c>
      <c r="Z117" s="27"/>
      <c r="AA117" s="27"/>
      <c r="AB117" s="28"/>
      <c r="AC117" s="28"/>
      <c r="AD117" s="30"/>
      <c r="AE117" s="31"/>
      <c r="AF117" s="31"/>
      <c r="AG117" s="32"/>
      <c r="AH117" s="33"/>
      <c r="AI117" s="33"/>
      <c r="AJ117" s="33"/>
      <c r="AK117" s="34"/>
      <c r="AL117" s="36"/>
      <c r="AM117" s="36"/>
      <c r="AN117" s="36"/>
      <c r="AO117" s="32"/>
      <c r="AP117" s="40"/>
      <c r="AQ117" s="41"/>
      <c r="AR117" s="43"/>
      <c r="AS117" s="40"/>
      <c r="AT117" s="46"/>
    </row>
    <row r="118" s="78" customFormat="1" ht="51" spans="1:49">
      <c r="A118" s="11">
        <v>76</v>
      </c>
      <c r="B118" s="180" t="s">
        <v>207</v>
      </c>
      <c r="C118" s="60" t="s">
        <v>60</v>
      </c>
      <c r="D118" s="182" t="s">
        <v>48</v>
      </c>
      <c r="E118" s="6">
        <v>46269</v>
      </c>
      <c r="F118" s="3" t="s">
        <v>208</v>
      </c>
      <c r="G118" s="3" t="s">
        <v>50</v>
      </c>
      <c r="H118" s="77" t="s">
        <v>209</v>
      </c>
      <c r="I118" s="241" t="s">
        <v>210</v>
      </c>
      <c r="J118" s="9" t="s">
        <v>211</v>
      </c>
      <c r="K118" s="10" t="s">
        <v>212</v>
      </c>
      <c r="L118" s="11">
        <v>16</v>
      </c>
      <c r="M118" s="11">
        <v>358.7</v>
      </c>
      <c r="N118" s="18">
        <v>2975765</v>
      </c>
      <c r="O118" s="203"/>
      <c r="P118" s="18"/>
      <c r="Q118" s="10"/>
      <c r="R118" s="21">
        <v>1</v>
      </c>
      <c r="S118" s="12"/>
      <c r="T118" s="22"/>
      <c r="U118" s="22"/>
      <c r="V118" s="14" t="s">
        <v>213</v>
      </c>
      <c r="W118" s="14" t="s">
        <v>214</v>
      </c>
      <c r="X118" s="25">
        <v>0.1875</v>
      </c>
      <c r="Y118" s="25">
        <v>0.979166666666667</v>
      </c>
      <c r="Z118" s="28"/>
      <c r="AA118" s="28"/>
      <c r="AB118" s="28"/>
      <c r="AC118" s="28"/>
      <c r="AD118" s="30"/>
      <c r="AE118" s="31"/>
      <c r="AF118" s="31"/>
      <c r="AG118" s="32"/>
      <c r="AH118" s="33"/>
      <c r="AI118" s="33"/>
      <c r="AJ118" s="33"/>
      <c r="AK118" s="34"/>
      <c r="AL118" s="36"/>
      <c r="AM118" s="36"/>
      <c r="AN118" s="36"/>
      <c r="AO118" s="32"/>
      <c r="AP118" s="40">
        <v>0</v>
      </c>
      <c r="AQ118" s="41"/>
      <c r="AR118" s="222">
        <f>AP118-(N118+AE118+AF118)</f>
        <v>-2975765</v>
      </c>
      <c r="AS118" s="40"/>
      <c r="AT118" s="46"/>
      <c r="AU118" s="170"/>
      <c r="AV118" s="170"/>
      <c r="AW118" s="170"/>
    </row>
    <row r="119" ht="39.75" customHeight="1" spans="1:46">
      <c r="A119" s="11"/>
      <c r="B119" s="180" t="s">
        <v>215</v>
      </c>
      <c r="C119" s="4" t="s">
        <v>389</v>
      </c>
      <c r="D119" s="182" t="s">
        <v>48</v>
      </c>
      <c r="E119" s="10" t="s">
        <v>216</v>
      </c>
      <c r="F119" s="3" t="s">
        <v>217</v>
      </c>
      <c r="G119" s="3" t="s">
        <v>50</v>
      </c>
      <c r="H119" s="3" t="s">
        <v>218</v>
      </c>
      <c r="I119" s="319" t="s">
        <v>219</v>
      </c>
      <c r="J119" s="9" t="s">
        <v>220</v>
      </c>
      <c r="K119" s="10" t="s">
        <v>122</v>
      </c>
      <c r="L119" s="11">
        <v>1</v>
      </c>
      <c r="M119" s="11">
        <v>186.2</v>
      </c>
      <c r="N119" s="18">
        <v>67784</v>
      </c>
      <c r="O119" s="203"/>
      <c r="P119" s="18"/>
      <c r="Q119" s="10"/>
      <c r="R119" s="21">
        <v>2</v>
      </c>
      <c r="S119" s="12"/>
      <c r="T119" s="22"/>
      <c r="U119" s="22"/>
      <c r="V119" s="14" t="s">
        <v>221</v>
      </c>
      <c r="W119" s="14" t="s">
        <v>222</v>
      </c>
      <c r="X119" s="209" t="s">
        <v>68</v>
      </c>
      <c r="Y119" s="209" t="s">
        <v>223</v>
      </c>
      <c r="Z119" s="28"/>
      <c r="AA119" s="28"/>
      <c r="AB119" s="28"/>
      <c r="AC119" s="28"/>
      <c r="AD119" s="30"/>
      <c r="AE119" s="31"/>
      <c r="AF119" s="31"/>
      <c r="AG119" s="32"/>
      <c r="AH119" s="33"/>
      <c r="AI119" s="33"/>
      <c r="AJ119" s="33"/>
      <c r="AK119" s="34"/>
      <c r="AL119" s="36"/>
      <c r="AM119" s="36"/>
      <c r="AN119" s="36"/>
      <c r="AO119" s="32"/>
      <c r="AP119" s="40">
        <v>60974</v>
      </c>
      <c r="AQ119" s="41" t="s">
        <v>142</v>
      </c>
      <c r="AR119" s="43">
        <f>AP119-(N119+AE119+AF119)</f>
        <v>-6810</v>
      </c>
      <c r="AS119" s="40"/>
      <c r="AT119" s="46" t="s">
        <v>1229</v>
      </c>
    </row>
    <row r="120" ht="39.75" customHeight="1" spans="1:46">
      <c r="A120" s="11"/>
      <c r="B120" s="180"/>
      <c r="C120" s="4" t="s">
        <v>389</v>
      </c>
      <c r="D120" s="182" t="s">
        <v>48</v>
      </c>
      <c r="E120" s="10"/>
      <c r="F120" s="3" t="s">
        <v>217</v>
      </c>
      <c r="G120" s="3" t="s">
        <v>50</v>
      </c>
      <c r="H120" s="3" t="s">
        <v>218</v>
      </c>
      <c r="I120" s="319" t="s">
        <v>219</v>
      </c>
      <c r="J120" s="9"/>
      <c r="K120" s="10"/>
      <c r="L120" s="11"/>
      <c r="M120" s="11"/>
      <c r="N120" s="18"/>
      <c r="O120" s="203"/>
      <c r="P120" s="18"/>
      <c r="Q120" s="10"/>
      <c r="R120" s="21"/>
      <c r="S120" s="12"/>
      <c r="T120" s="22"/>
      <c r="U120" s="22"/>
      <c r="V120" s="14"/>
      <c r="W120" s="14"/>
      <c r="X120" s="209"/>
      <c r="Y120" s="209"/>
      <c r="Z120" s="28"/>
      <c r="AA120" s="28"/>
      <c r="AB120" s="28"/>
      <c r="AC120" s="28"/>
      <c r="AD120" s="30"/>
      <c r="AE120" s="31"/>
      <c r="AF120" s="31"/>
      <c r="AG120" s="32"/>
      <c r="AH120" s="33"/>
      <c r="AI120" s="33"/>
      <c r="AJ120" s="33"/>
      <c r="AK120" s="34"/>
      <c r="AL120" s="36"/>
      <c r="AM120" s="36"/>
      <c r="AN120" s="36"/>
      <c r="AO120" s="32"/>
      <c r="AP120" s="40"/>
      <c r="AQ120" s="41"/>
      <c r="AR120" s="43"/>
      <c r="AS120" s="40"/>
      <c r="AT120" s="46"/>
    </row>
    <row r="121" ht="39.75" customHeight="1" spans="1:46">
      <c r="A121" s="11">
        <v>77</v>
      </c>
      <c r="B121" s="180" t="s">
        <v>1230</v>
      </c>
      <c r="C121" s="4" t="s">
        <v>389</v>
      </c>
      <c r="D121" s="182" t="s">
        <v>48</v>
      </c>
      <c r="E121" s="10" t="s">
        <v>307</v>
      </c>
      <c r="F121" s="3" t="s">
        <v>266</v>
      </c>
      <c r="G121" s="3" t="s">
        <v>50</v>
      </c>
      <c r="H121" s="3" t="s">
        <v>308</v>
      </c>
      <c r="I121" s="198">
        <v>773540807</v>
      </c>
      <c r="J121" s="9" t="s">
        <v>309</v>
      </c>
      <c r="K121" s="10" t="s">
        <v>122</v>
      </c>
      <c r="L121" s="11">
        <v>1</v>
      </c>
      <c r="M121" s="11">
        <v>444.5</v>
      </c>
      <c r="N121" s="18">
        <v>203871</v>
      </c>
      <c r="O121" s="203"/>
      <c r="P121" s="18"/>
      <c r="Q121" s="10"/>
      <c r="R121" s="21">
        <v>3</v>
      </c>
      <c r="S121" s="12"/>
      <c r="T121" s="22"/>
      <c r="U121" s="22"/>
      <c r="V121" s="14" t="s">
        <v>312</v>
      </c>
      <c r="W121" s="14" t="s">
        <v>313</v>
      </c>
      <c r="X121" s="209" t="s">
        <v>73</v>
      </c>
      <c r="Y121" s="209" t="s">
        <v>314</v>
      </c>
      <c r="Z121" s="28"/>
      <c r="AA121" s="28"/>
      <c r="AB121" s="28"/>
      <c r="AC121" s="28"/>
      <c r="AD121" s="30"/>
      <c r="AE121" s="31"/>
      <c r="AF121" s="31"/>
      <c r="AG121" s="32"/>
      <c r="AH121" s="33"/>
      <c r="AI121" s="33"/>
      <c r="AJ121" s="33"/>
      <c r="AK121" s="34"/>
      <c r="AL121" s="36"/>
      <c r="AM121" s="36"/>
      <c r="AN121" s="36"/>
      <c r="AO121" s="32"/>
      <c r="AP121" s="40">
        <v>102000</v>
      </c>
      <c r="AQ121" s="41">
        <v>46090</v>
      </c>
      <c r="AR121" s="43">
        <f>AP121-(N121+AE121+AF121)</f>
        <v>-101871</v>
      </c>
      <c r="AS121" s="40"/>
      <c r="AT121" s="46"/>
    </row>
    <row r="122" ht="57" customHeight="1" spans="1:46">
      <c r="A122" s="11"/>
      <c r="B122" s="3" t="s">
        <v>316</v>
      </c>
      <c r="C122" s="181" t="s">
        <v>389</v>
      </c>
      <c r="D122" s="182" t="s">
        <v>48</v>
      </c>
      <c r="E122" s="10" t="s">
        <v>317</v>
      </c>
      <c r="F122" s="3" t="s">
        <v>266</v>
      </c>
      <c r="G122" s="3" t="s">
        <v>50</v>
      </c>
      <c r="H122" s="3" t="s">
        <v>318</v>
      </c>
      <c r="I122" s="319" t="s">
        <v>319</v>
      </c>
      <c r="J122" s="9" t="s">
        <v>320</v>
      </c>
      <c r="K122" s="10" t="s">
        <v>122</v>
      </c>
      <c r="L122" s="11">
        <v>1</v>
      </c>
      <c r="M122" s="11">
        <v>377.6</v>
      </c>
      <c r="N122" s="18">
        <v>93421</v>
      </c>
      <c r="O122" s="203"/>
      <c r="P122" s="18"/>
      <c r="Q122" s="10"/>
      <c r="R122" s="21"/>
      <c r="S122" s="12"/>
      <c r="T122" s="22"/>
      <c r="U122" s="22"/>
      <c r="V122" s="14" t="s">
        <v>321</v>
      </c>
      <c r="W122" s="14" t="s">
        <v>322</v>
      </c>
      <c r="X122" s="25" t="s">
        <v>323</v>
      </c>
      <c r="Y122" s="25" t="s">
        <v>114</v>
      </c>
      <c r="Z122" s="27"/>
      <c r="AA122" s="27"/>
      <c r="AB122" s="28"/>
      <c r="AC122" s="28"/>
      <c r="AD122" s="30"/>
      <c r="AE122" s="31"/>
      <c r="AF122" s="31"/>
      <c r="AG122" s="32"/>
      <c r="AH122" s="33"/>
      <c r="AI122" s="33"/>
      <c r="AJ122" s="33"/>
      <c r="AK122" s="34"/>
      <c r="AL122" s="36"/>
      <c r="AM122" s="36"/>
      <c r="AN122" s="36"/>
      <c r="AO122" s="32"/>
      <c r="AP122" s="40">
        <v>40421</v>
      </c>
      <c r="AQ122" s="41" t="s">
        <v>324</v>
      </c>
      <c r="AR122" s="43">
        <f>AP122-(N122+AE122+AF122)</f>
        <v>-53000</v>
      </c>
      <c r="AS122" s="40"/>
      <c r="AT122" s="46"/>
    </row>
    <row r="123" ht="34" spans="1:46">
      <c r="A123" s="11"/>
      <c r="B123" s="3" t="s">
        <v>326</v>
      </c>
      <c r="C123" s="181" t="s">
        <v>389</v>
      </c>
      <c r="D123" s="182" t="s">
        <v>48</v>
      </c>
      <c r="E123" s="10" t="s">
        <v>327</v>
      </c>
      <c r="F123" s="3" t="s">
        <v>266</v>
      </c>
      <c r="G123" s="3" t="s">
        <v>50</v>
      </c>
      <c r="H123" s="3" t="s">
        <v>300</v>
      </c>
      <c r="I123" s="319" t="s">
        <v>328</v>
      </c>
      <c r="J123" s="9" t="s">
        <v>329</v>
      </c>
      <c r="K123" s="10" t="s">
        <v>122</v>
      </c>
      <c r="L123" s="11">
        <v>1</v>
      </c>
      <c r="M123" s="11"/>
      <c r="N123" s="18">
        <v>157303</v>
      </c>
      <c r="O123" s="203"/>
      <c r="P123" s="18"/>
      <c r="Q123" s="10"/>
      <c r="R123" s="21">
        <v>4</v>
      </c>
      <c r="S123" s="12"/>
      <c r="T123" s="22"/>
      <c r="U123" s="22"/>
      <c r="V123" s="14" t="s">
        <v>332</v>
      </c>
      <c r="W123" s="14" t="s">
        <v>333</v>
      </c>
      <c r="X123" s="25"/>
      <c r="Y123" s="25"/>
      <c r="Z123" s="27"/>
      <c r="AA123" s="27"/>
      <c r="AB123" s="28"/>
      <c r="AC123" s="28"/>
      <c r="AD123" s="30"/>
      <c r="AE123" s="31"/>
      <c r="AF123" s="31"/>
      <c r="AG123" s="32"/>
      <c r="AH123" s="33"/>
      <c r="AI123" s="33"/>
      <c r="AJ123" s="33"/>
      <c r="AK123" s="34"/>
      <c r="AL123" s="36"/>
      <c r="AM123" s="36"/>
      <c r="AN123" s="36"/>
      <c r="AO123" s="32"/>
      <c r="AP123" s="40">
        <v>90000</v>
      </c>
      <c r="AQ123" s="41" t="s">
        <v>334</v>
      </c>
      <c r="AR123" s="43">
        <f>AP123-(N123+AE123+AF123)</f>
        <v>-67303</v>
      </c>
      <c r="AS123" s="40"/>
      <c r="AT123" s="46"/>
    </row>
    <row r="124" ht="118" spans="1:46">
      <c r="A124" s="11">
        <v>78</v>
      </c>
      <c r="B124" s="3"/>
      <c r="C124" s="181" t="s">
        <v>389</v>
      </c>
      <c r="D124" s="182" t="s">
        <v>48</v>
      </c>
      <c r="E124" s="10" t="s">
        <v>336</v>
      </c>
      <c r="F124" s="3" t="s">
        <v>337</v>
      </c>
      <c r="G124" s="3" t="s">
        <v>50</v>
      </c>
      <c r="H124" s="3" t="s">
        <v>338</v>
      </c>
      <c r="I124" s="198" t="s">
        <v>339</v>
      </c>
      <c r="J124" s="9" t="s">
        <v>340</v>
      </c>
      <c r="K124" s="10" t="s">
        <v>212</v>
      </c>
      <c r="L124" s="11">
        <v>2</v>
      </c>
      <c r="M124" s="11">
        <v>512</v>
      </c>
      <c r="N124" s="18">
        <v>478528</v>
      </c>
      <c r="O124" s="203"/>
      <c r="P124" s="18"/>
      <c r="Q124" s="10" t="s">
        <v>341</v>
      </c>
      <c r="R124" s="21">
        <v>3</v>
      </c>
      <c r="S124" s="12"/>
      <c r="T124" s="22"/>
      <c r="U124" s="22"/>
      <c r="V124" s="14" t="s">
        <v>345</v>
      </c>
      <c r="W124" s="14" t="s">
        <v>346</v>
      </c>
      <c r="X124" s="25">
        <v>0.25</v>
      </c>
      <c r="Y124" s="25">
        <v>0.916666666666667</v>
      </c>
      <c r="Z124" s="27">
        <v>23580</v>
      </c>
      <c r="AA124" s="27">
        <v>478528</v>
      </c>
      <c r="AB124" s="28"/>
      <c r="AC124" s="28"/>
      <c r="AD124" s="30"/>
      <c r="AE124" s="31"/>
      <c r="AF124" s="31"/>
      <c r="AG124" s="32"/>
      <c r="AH124" s="33"/>
      <c r="AI124" s="33"/>
      <c r="AJ124" s="33"/>
      <c r="AK124" s="34"/>
      <c r="AL124" s="36"/>
      <c r="AM124" s="36"/>
      <c r="AN124" s="36"/>
      <c r="AO124" s="32"/>
      <c r="AP124" s="40">
        <v>300000</v>
      </c>
      <c r="AQ124" s="41">
        <v>46051</v>
      </c>
      <c r="AR124" s="43">
        <f>AP124-(AA124+AE124+AF124)</f>
        <v>-178528</v>
      </c>
      <c r="AS124" s="40"/>
      <c r="AT124" s="46"/>
    </row>
    <row r="125" ht="73" customHeight="1" spans="1:46">
      <c r="A125" s="11"/>
      <c r="B125" s="180" t="s">
        <v>347</v>
      </c>
      <c r="C125" s="4" t="s">
        <v>389</v>
      </c>
      <c r="D125" s="182" t="s">
        <v>48</v>
      </c>
      <c r="E125" s="10" t="s">
        <v>348</v>
      </c>
      <c r="F125" s="3" t="s">
        <v>349</v>
      </c>
      <c r="G125" s="3" t="s">
        <v>50</v>
      </c>
      <c r="H125" s="3" t="s">
        <v>351</v>
      </c>
      <c r="I125" s="319" t="s">
        <v>352</v>
      </c>
      <c r="J125" s="9" t="s">
        <v>353</v>
      </c>
      <c r="K125" s="10" t="s">
        <v>354</v>
      </c>
      <c r="L125" s="11">
        <v>1</v>
      </c>
      <c r="M125" s="11">
        <v>168.9</v>
      </c>
      <c r="N125" s="18">
        <v>141781</v>
      </c>
      <c r="O125" s="203"/>
      <c r="P125" s="18"/>
      <c r="Q125" s="10"/>
      <c r="R125" s="21">
        <v>2</v>
      </c>
      <c r="S125" s="12"/>
      <c r="T125" s="22"/>
      <c r="U125" s="22"/>
      <c r="V125" s="14" t="s">
        <v>356</v>
      </c>
      <c r="W125" s="14" t="s">
        <v>357</v>
      </c>
      <c r="X125" s="209" t="s">
        <v>358</v>
      </c>
      <c r="Y125" s="209" t="s">
        <v>223</v>
      </c>
      <c r="Z125" s="28"/>
      <c r="AA125" s="28"/>
      <c r="AB125" s="28"/>
      <c r="AC125" s="28"/>
      <c r="AD125" s="30"/>
      <c r="AE125" s="31"/>
      <c r="AF125" s="31"/>
      <c r="AG125" s="32"/>
      <c r="AH125" s="33"/>
      <c r="AI125" s="33"/>
      <c r="AJ125" s="33"/>
      <c r="AK125" s="34"/>
      <c r="AL125" s="36"/>
      <c r="AM125" s="36"/>
      <c r="AN125" s="36"/>
      <c r="AO125" s="32"/>
      <c r="AP125" s="40">
        <v>70890</v>
      </c>
      <c r="AQ125" s="41" t="s">
        <v>359</v>
      </c>
      <c r="AR125" s="43">
        <f>AP125-(AA125+AE125+AF125)</f>
        <v>70890</v>
      </c>
      <c r="AS125" s="40"/>
      <c r="AT125" s="46"/>
    </row>
    <row r="126" ht="51" spans="1:46">
      <c r="A126" s="11">
        <v>79</v>
      </c>
      <c r="B126" s="180" t="s">
        <v>366</v>
      </c>
      <c r="C126" s="4" t="s">
        <v>512</v>
      </c>
      <c r="D126" s="182" t="s">
        <v>48</v>
      </c>
      <c r="E126" s="10" t="s">
        <v>367</v>
      </c>
      <c r="F126" s="3" t="s">
        <v>144</v>
      </c>
      <c r="G126" s="3" t="s">
        <v>86</v>
      </c>
      <c r="H126" s="3" t="s">
        <v>368</v>
      </c>
      <c r="I126" s="198" t="s">
        <v>369</v>
      </c>
      <c r="J126" s="9" t="s">
        <v>370</v>
      </c>
      <c r="K126" s="10" t="s">
        <v>122</v>
      </c>
      <c r="L126" s="11">
        <v>1</v>
      </c>
      <c r="M126" s="11">
        <v>62.3</v>
      </c>
      <c r="N126" s="18">
        <v>28932</v>
      </c>
      <c r="O126" s="203"/>
      <c r="P126" s="18"/>
      <c r="Q126" s="10"/>
      <c r="R126" s="21">
        <v>1</v>
      </c>
      <c r="S126" s="12"/>
      <c r="T126" s="22"/>
      <c r="U126" s="22"/>
      <c r="V126" s="14" t="s">
        <v>371</v>
      </c>
      <c r="W126" s="14" t="s">
        <v>372</v>
      </c>
      <c r="X126" s="209" t="s">
        <v>373</v>
      </c>
      <c r="Y126" s="209" t="s">
        <v>374</v>
      </c>
      <c r="Z126" s="28"/>
      <c r="AA126" s="28"/>
      <c r="AB126" s="28"/>
      <c r="AC126" s="28"/>
      <c r="AD126" s="30"/>
      <c r="AE126" s="31"/>
      <c r="AF126" s="31"/>
      <c r="AG126" s="32"/>
      <c r="AH126" s="33"/>
      <c r="AI126" s="33"/>
      <c r="AJ126" s="33"/>
      <c r="AK126" s="34"/>
      <c r="AL126" s="36"/>
      <c r="AM126" s="36"/>
      <c r="AN126" s="36"/>
      <c r="AO126" s="32"/>
      <c r="AP126" s="40"/>
      <c r="AQ126" s="41"/>
      <c r="AR126" s="43"/>
      <c r="AS126" s="40"/>
      <c r="AT126" s="46"/>
    </row>
    <row r="127" ht="51" spans="1:46">
      <c r="A127" s="11">
        <v>80</v>
      </c>
      <c r="B127" s="180" t="s">
        <v>375</v>
      </c>
      <c r="C127" s="181" t="s">
        <v>389</v>
      </c>
      <c r="D127" s="182" t="s">
        <v>48</v>
      </c>
      <c r="E127" s="10" t="s">
        <v>367</v>
      </c>
      <c r="F127" s="3" t="s">
        <v>144</v>
      </c>
      <c r="G127" s="3" t="s">
        <v>86</v>
      </c>
      <c r="H127" s="3" t="s">
        <v>368</v>
      </c>
      <c r="I127" s="198" t="s">
        <v>369</v>
      </c>
      <c r="J127" s="9" t="s">
        <v>370</v>
      </c>
      <c r="K127" s="10" t="s">
        <v>212</v>
      </c>
      <c r="L127" s="11">
        <v>1</v>
      </c>
      <c r="M127" s="11">
        <v>62.3</v>
      </c>
      <c r="N127" s="18">
        <v>59905</v>
      </c>
      <c r="O127" s="203"/>
      <c r="P127" s="18"/>
      <c r="Q127" s="10"/>
      <c r="R127" s="21">
        <v>1</v>
      </c>
      <c r="S127" s="12"/>
      <c r="T127" s="22"/>
      <c r="U127" s="22"/>
      <c r="V127" s="14" t="s">
        <v>371</v>
      </c>
      <c r="W127" s="14" t="s">
        <v>372</v>
      </c>
      <c r="X127" s="209" t="s">
        <v>373</v>
      </c>
      <c r="Y127" s="209" t="s">
        <v>374</v>
      </c>
      <c r="Z127" s="28"/>
      <c r="AA127" s="28"/>
      <c r="AB127" s="28"/>
      <c r="AC127" s="28"/>
      <c r="AD127" s="30"/>
      <c r="AE127" s="31"/>
      <c r="AF127" s="31"/>
      <c r="AG127" s="32"/>
      <c r="AH127" s="33"/>
      <c r="AI127" s="33"/>
      <c r="AJ127" s="33"/>
      <c r="AK127" s="34"/>
      <c r="AL127" s="36"/>
      <c r="AM127" s="36"/>
      <c r="AN127" s="36"/>
      <c r="AO127" s="32"/>
      <c r="AP127" s="40"/>
      <c r="AQ127" s="41"/>
      <c r="AR127" s="43"/>
      <c r="AS127" s="40"/>
      <c r="AT127" s="46"/>
    </row>
    <row r="128" ht="51" spans="1:46">
      <c r="A128" s="11">
        <v>81</v>
      </c>
      <c r="B128" s="180" t="s">
        <v>495</v>
      </c>
      <c r="C128" s="181" t="s">
        <v>389</v>
      </c>
      <c r="D128" s="182" t="s">
        <v>483</v>
      </c>
      <c r="E128" s="10" t="s">
        <v>496</v>
      </c>
      <c r="F128" s="3" t="s">
        <v>497</v>
      </c>
      <c r="G128" s="3" t="s">
        <v>50</v>
      </c>
      <c r="H128" s="3" t="s">
        <v>498</v>
      </c>
      <c r="I128" s="198" t="s">
        <v>499</v>
      </c>
      <c r="J128" s="9" t="s">
        <v>500</v>
      </c>
      <c r="K128" s="10" t="s">
        <v>212</v>
      </c>
      <c r="L128" s="11">
        <v>2</v>
      </c>
      <c r="M128" s="11">
        <v>174</v>
      </c>
      <c r="N128" s="18">
        <v>225554</v>
      </c>
      <c r="O128" s="203"/>
      <c r="P128" s="18"/>
      <c r="Q128" s="10"/>
      <c r="R128" s="21"/>
      <c r="S128" s="12"/>
      <c r="T128" s="22"/>
      <c r="U128" s="22"/>
      <c r="V128" s="14"/>
      <c r="W128" s="14"/>
      <c r="X128" s="25"/>
      <c r="Y128" s="25"/>
      <c r="Z128" s="28"/>
      <c r="AA128" s="28"/>
      <c r="AB128" s="28"/>
      <c r="AC128" s="28"/>
      <c r="AD128" s="30"/>
      <c r="AE128" s="31"/>
      <c r="AF128" s="31"/>
      <c r="AG128" s="32"/>
      <c r="AH128" s="33"/>
      <c r="AI128" s="33"/>
      <c r="AJ128" s="33"/>
      <c r="AK128" s="34"/>
      <c r="AL128" s="36"/>
      <c r="AM128" s="36"/>
      <c r="AN128" s="36"/>
      <c r="AO128" s="32"/>
      <c r="AP128" s="40">
        <v>125000</v>
      </c>
      <c r="AQ128" s="41">
        <v>46086</v>
      </c>
      <c r="AR128" s="43">
        <f t="shared" ref="AR128:AR130" si="6">AP128-(N128+AE128+AF128)</f>
        <v>-100554</v>
      </c>
      <c r="AS128" s="40"/>
      <c r="AT128" s="46" t="s">
        <v>501</v>
      </c>
    </row>
    <row r="129" ht="61" customHeight="1" spans="1:46">
      <c r="A129" s="11"/>
      <c r="B129" s="180" t="s">
        <v>502</v>
      </c>
      <c r="C129" s="4" t="s">
        <v>389</v>
      </c>
      <c r="D129" s="182" t="s">
        <v>483</v>
      </c>
      <c r="E129" s="190" t="s">
        <v>503</v>
      </c>
      <c r="F129" s="3" t="s">
        <v>266</v>
      </c>
      <c r="G129" s="3" t="s">
        <v>50</v>
      </c>
      <c r="H129" s="265" t="s">
        <v>505</v>
      </c>
      <c r="I129" s="319" t="s">
        <v>506</v>
      </c>
      <c r="J129" s="9" t="s">
        <v>507</v>
      </c>
      <c r="K129" s="10" t="s">
        <v>508</v>
      </c>
      <c r="L129" s="11">
        <v>1</v>
      </c>
      <c r="M129" s="11">
        <v>372.1</v>
      </c>
      <c r="N129" s="18">
        <v>187913</v>
      </c>
      <c r="O129" s="203"/>
      <c r="P129" s="18"/>
      <c r="Q129" s="10"/>
      <c r="R129" s="21">
        <v>2</v>
      </c>
      <c r="S129" s="12"/>
      <c r="T129" s="22"/>
      <c r="U129" s="22"/>
      <c r="V129" s="14" t="s">
        <v>509</v>
      </c>
      <c r="W129" s="14"/>
      <c r="X129" s="209" t="s">
        <v>68</v>
      </c>
      <c r="Y129" s="209" t="s">
        <v>155</v>
      </c>
      <c r="Z129" s="28"/>
      <c r="AA129" s="28"/>
      <c r="AB129" s="28"/>
      <c r="AC129" s="28"/>
      <c r="AD129" s="30"/>
      <c r="AE129" s="31"/>
      <c r="AF129" s="31"/>
      <c r="AG129" s="32"/>
      <c r="AH129" s="33"/>
      <c r="AI129" s="33"/>
      <c r="AJ129" s="33"/>
      <c r="AK129" s="34"/>
      <c r="AL129" s="36"/>
      <c r="AM129" s="36"/>
      <c r="AN129" s="36"/>
      <c r="AO129" s="32"/>
      <c r="AP129" s="40">
        <v>90000</v>
      </c>
      <c r="AQ129" s="41" t="s">
        <v>510</v>
      </c>
      <c r="AR129" s="43">
        <f t="shared" si="6"/>
        <v>-97913</v>
      </c>
      <c r="AS129" s="40"/>
      <c r="AT129" s="46"/>
    </row>
    <row r="130" ht="56" customHeight="1" spans="1:46">
      <c r="A130" s="11"/>
      <c r="B130" s="180" t="s">
        <v>522</v>
      </c>
      <c r="C130" s="4" t="s">
        <v>389</v>
      </c>
      <c r="D130" s="182" t="s">
        <v>483</v>
      </c>
      <c r="E130" s="190">
        <v>46150</v>
      </c>
      <c r="F130" s="3" t="s">
        <v>523</v>
      </c>
      <c r="G130" s="3" t="s">
        <v>50</v>
      </c>
      <c r="H130" s="3" t="s">
        <v>525</v>
      </c>
      <c r="I130" s="319" t="s">
        <v>526</v>
      </c>
      <c r="J130" s="9" t="s">
        <v>527</v>
      </c>
      <c r="K130" s="10" t="s">
        <v>528</v>
      </c>
      <c r="L130" s="11">
        <v>3</v>
      </c>
      <c r="M130" s="11">
        <v>5.9</v>
      </c>
      <c r="N130" s="18">
        <v>195000</v>
      </c>
      <c r="O130" s="203"/>
      <c r="P130" s="18"/>
      <c r="Q130" s="10"/>
      <c r="R130" s="21">
        <v>1</v>
      </c>
      <c r="S130" s="12"/>
      <c r="T130" s="22"/>
      <c r="U130" s="22"/>
      <c r="V130" s="14" t="s">
        <v>529</v>
      </c>
      <c r="W130" s="14" t="s">
        <v>530</v>
      </c>
      <c r="X130" s="209" t="s">
        <v>80</v>
      </c>
      <c r="Y130" s="209" t="s">
        <v>174</v>
      </c>
      <c r="Z130" s="28"/>
      <c r="AA130" s="28"/>
      <c r="AB130" s="28"/>
      <c r="AC130" s="28"/>
      <c r="AD130" s="30"/>
      <c r="AE130" s="31"/>
      <c r="AF130" s="31"/>
      <c r="AG130" s="32"/>
      <c r="AH130" s="33"/>
      <c r="AI130" s="33"/>
      <c r="AJ130" s="33"/>
      <c r="AK130" s="34"/>
      <c r="AL130" s="36"/>
      <c r="AM130" s="36"/>
      <c r="AN130" s="36"/>
      <c r="AO130" s="32"/>
      <c r="AP130" s="40">
        <v>97500</v>
      </c>
      <c r="AQ130" s="41" t="s">
        <v>233</v>
      </c>
      <c r="AR130" s="43">
        <f t="shared" si="6"/>
        <v>-97500</v>
      </c>
      <c r="AS130" s="40"/>
      <c r="AT130" s="46"/>
    </row>
    <row r="131" ht="34" spans="1:46">
      <c r="A131" s="11">
        <v>82</v>
      </c>
      <c r="B131" s="180" t="s">
        <v>531</v>
      </c>
      <c r="C131" s="4" t="s">
        <v>512</v>
      </c>
      <c r="D131" s="182" t="s">
        <v>483</v>
      </c>
      <c r="E131" s="190">
        <v>46150</v>
      </c>
      <c r="F131" s="3" t="s">
        <v>532</v>
      </c>
      <c r="G131" s="3" t="s">
        <v>86</v>
      </c>
      <c r="H131" s="3" t="s">
        <v>533</v>
      </c>
      <c r="I131" s="198" t="s">
        <v>534</v>
      </c>
      <c r="J131" s="9" t="s">
        <v>535</v>
      </c>
      <c r="K131" s="10" t="s">
        <v>90</v>
      </c>
      <c r="L131" s="11">
        <v>3</v>
      </c>
      <c r="M131" s="11">
        <v>4.9</v>
      </c>
      <c r="N131" s="18">
        <v>27098</v>
      </c>
      <c r="O131" s="203"/>
      <c r="P131" s="18"/>
      <c r="Q131" s="10"/>
      <c r="R131" s="21">
        <v>1</v>
      </c>
      <c r="S131" s="12"/>
      <c r="T131" s="22"/>
      <c r="U131" s="22"/>
      <c r="V131" s="14" t="s">
        <v>536</v>
      </c>
      <c r="W131" s="14" t="s">
        <v>537</v>
      </c>
      <c r="X131" s="209" t="s">
        <v>373</v>
      </c>
      <c r="Y131" s="209" t="s">
        <v>538</v>
      </c>
      <c r="Z131" s="28"/>
      <c r="AA131" s="28"/>
      <c r="AB131" s="28"/>
      <c r="AC131" s="28"/>
      <c r="AD131" s="30"/>
      <c r="AE131" s="31"/>
      <c r="AF131" s="31"/>
      <c r="AG131" s="32"/>
      <c r="AH131" s="33"/>
      <c r="AI131" s="33"/>
      <c r="AJ131" s="33"/>
      <c r="AK131" s="34"/>
      <c r="AL131" s="36"/>
      <c r="AM131" s="36"/>
      <c r="AN131" s="36"/>
      <c r="AO131" s="32"/>
      <c r="AP131" s="40"/>
      <c r="AQ131" s="41"/>
      <c r="AR131" s="43"/>
      <c r="AS131" s="40"/>
      <c r="AT131" s="46"/>
    </row>
    <row r="132" ht="69" customHeight="1" spans="1:46">
      <c r="A132" s="11"/>
      <c r="B132" s="180" t="s">
        <v>539</v>
      </c>
      <c r="C132" s="181" t="s">
        <v>1231</v>
      </c>
      <c r="D132" s="182" t="s">
        <v>483</v>
      </c>
      <c r="E132" s="6" t="s">
        <v>540</v>
      </c>
      <c r="F132" s="3" t="s">
        <v>541</v>
      </c>
      <c r="G132" s="3" t="s">
        <v>50</v>
      </c>
      <c r="H132" s="3" t="s">
        <v>542</v>
      </c>
      <c r="I132" s="319" t="s">
        <v>543</v>
      </c>
      <c r="J132" s="9" t="s">
        <v>544</v>
      </c>
      <c r="K132" s="10" t="s">
        <v>168</v>
      </c>
      <c r="L132" s="11">
        <v>3</v>
      </c>
      <c r="M132" s="11">
        <v>391.1</v>
      </c>
      <c r="N132" s="18">
        <v>619000</v>
      </c>
      <c r="O132" s="203"/>
      <c r="P132" s="18"/>
      <c r="Q132" s="10"/>
      <c r="R132" s="21">
        <v>2</v>
      </c>
      <c r="S132" s="12"/>
      <c r="T132" s="22"/>
      <c r="U132" s="22"/>
      <c r="V132" s="14" t="s">
        <v>545</v>
      </c>
      <c r="W132" s="14" t="s">
        <v>546</v>
      </c>
      <c r="X132" s="25" t="s">
        <v>465</v>
      </c>
      <c r="Y132" s="25" t="s">
        <v>547</v>
      </c>
      <c r="Z132" s="28"/>
      <c r="AA132" s="28"/>
      <c r="AB132" s="28"/>
      <c r="AC132" s="28"/>
      <c r="AD132" s="30"/>
      <c r="AE132" s="31"/>
      <c r="AF132" s="31"/>
      <c r="AG132" s="32"/>
      <c r="AH132" s="33"/>
      <c r="AI132" s="33"/>
      <c r="AJ132" s="33"/>
      <c r="AK132" s="34"/>
      <c r="AL132" s="36"/>
      <c r="AM132" s="36"/>
      <c r="AN132" s="36"/>
      <c r="AO132" s="32"/>
      <c r="AP132" s="40">
        <v>309500</v>
      </c>
      <c r="AQ132" s="41" t="s">
        <v>548</v>
      </c>
      <c r="AR132" s="43">
        <f>AP132-(N132+AE132+AF132)</f>
        <v>-309500</v>
      </c>
      <c r="AS132" s="40"/>
      <c r="AT132" s="46"/>
    </row>
    <row r="133" ht="35" customHeight="1" spans="1:46">
      <c r="A133" s="11"/>
      <c r="B133" s="180" t="s">
        <v>549</v>
      </c>
      <c r="C133" s="181" t="s">
        <v>389</v>
      </c>
      <c r="D133" s="182" t="s">
        <v>483</v>
      </c>
      <c r="E133" s="6">
        <v>46239</v>
      </c>
      <c r="F133" s="3" t="s">
        <v>118</v>
      </c>
      <c r="G133" s="3" t="s">
        <v>50</v>
      </c>
      <c r="H133" s="3" t="s">
        <v>550</v>
      </c>
      <c r="I133" s="319" t="s">
        <v>551</v>
      </c>
      <c r="J133" s="9" t="s">
        <v>552</v>
      </c>
      <c r="K133" s="10" t="s">
        <v>553</v>
      </c>
      <c r="L133" s="11">
        <v>2</v>
      </c>
      <c r="M133" s="11">
        <v>214.5</v>
      </c>
      <c r="N133" s="18">
        <v>111117</v>
      </c>
      <c r="O133" s="203"/>
      <c r="P133" s="18"/>
      <c r="Q133" s="10"/>
      <c r="R133" s="21"/>
      <c r="S133" s="12"/>
      <c r="T133" s="22"/>
      <c r="U133" s="22"/>
      <c r="V133" s="14" t="s">
        <v>554</v>
      </c>
      <c r="W133" s="14" t="s">
        <v>555</v>
      </c>
      <c r="X133" s="25" t="s">
        <v>68</v>
      </c>
      <c r="Y133" s="25" t="s">
        <v>223</v>
      </c>
      <c r="Z133" s="28"/>
      <c r="AA133" s="28"/>
      <c r="AB133" s="28"/>
      <c r="AC133" s="28"/>
      <c r="AD133" s="30"/>
      <c r="AE133" s="31"/>
      <c r="AF133" s="31"/>
      <c r="AG133" s="32"/>
      <c r="AH133" s="33"/>
      <c r="AI133" s="33"/>
      <c r="AJ133" s="33"/>
      <c r="AK133" s="34"/>
      <c r="AL133" s="36"/>
      <c r="AM133" s="36"/>
      <c r="AN133" s="36"/>
      <c r="AO133" s="32"/>
      <c r="AP133" s="40">
        <v>60000</v>
      </c>
      <c r="AQ133" s="41" t="s">
        <v>556</v>
      </c>
      <c r="AR133" s="43">
        <f>AP133-(N133+AE133+AF133)</f>
        <v>-51117</v>
      </c>
      <c r="AS133" s="40"/>
      <c r="AT133" s="46"/>
    </row>
    <row r="134" ht="51" spans="1:46">
      <c r="A134" s="11">
        <v>83</v>
      </c>
      <c r="B134" s="180" t="s">
        <v>578</v>
      </c>
      <c r="C134" s="181" t="s">
        <v>389</v>
      </c>
      <c r="D134" s="182" t="s">
        <v>579</v>
      </c>
      <c r="E134" s="6">
        <v>46242</v>
      </c>
      <c r="F134" s="3" t="s">
        <v>266</v>
      </c>
      <c r="G134" s="3" t="s">
        <v>50</v>
      </c>
      <c r="H134" s="3" t="s">
        <v>580</v>
      </c>
      <c r="I134" s="198" t="s">
        <v>1232</v>
      </c>
      <c r="J134" s="9" t="s">
        <v>582</v>
      </c>
      <c r="K134" s="10" t="s">
        <v>212</v>
      </c>
      <c r="L134" s="11">
        <v>1</v>
      </c>
      <c r="M134" s="11">
        <v>323.5</v>
      </c>
      <c r="N134" s="18">
        <v>149226</v>
      </c>
      <c r="O134" s="203"/>
      <c r="P134" s="18"/>
      <c r="Q134" s="10" t="s">
        <v>583</v>
      </c>
      <c r="R134" s="21"/>
      <c r="S134" s="12"/>
      <c r="T134" s="22"/>
      <c r="U134" s="22"/>
      <c r="V134" s="14" t="s">
        <v>584</v>
      </c>
      <c r="W134" s="14" t="s">
        <v>585</v>
      </c>
      <c r="X134" s="25">
        <v>0.270833333333333</v>
      </c>
      <c r="Y134" s="25">
        <v>0.833333333333333</v>
      </c>
      <c r="Z134" s="28"/>
      <c r="AA134" s="28"/>
      <c r="AB134" s="28"/>
      <c r="AC134" s="28"/>
      <c r="AD134" s="30"/>
      <c r="AE134" s="31"/>
      <c r="AF134" s="31"/>
      <c r="AG134" s="32"/>
      <c r="AH134" s="33"/>
      <c r="AI134" s="33"/>
      <c r="AJ134" s="33"/>
      <c r="AK134" s="34"/>
      <c r="AL134" s="36"/>
      <c r="AM134" s="36"/>
      <c r="AN134" s="36"/>
      <c r="AO134" s="32"/>
      <c r="AP134" s="40">
        <v>25000</v>
      </c>
      <c r="AQ134" s="41"/>
      <c r="AR134" s="43">
        <f>AP134-(N134+AE134+AF134)</f>
        <v>-124226</v>
      </c>
      <c r="AS134" s="40"/>
      <c r="AT134" s="46"/>
    </row>
    <row r="135" ht="14.25" customHeight="1" spans="1:46">
      <c r="A135" s="11"/>
      <c r="B135" s="180"/>
      <c r="C135" s="4"/>
      <c r="D135" s="182"/>
      <c r="E135" s="10"/>
      <c r="F135" s="180"/>
      <c r="G135" s="180"/>
      <c r="H135" s="180"/>
      <c r="I135" s="194"/>
      <c r="J135" s="195"/>
      <c r="K135" s="10"/>
      <c r="L135" s="11"/>
      <c r="M135" s="11"/>
      <c r="N135" s="18"/>
      <c r="O135" s="203"/>
      <c r="P135" s="18"/>
      <c r="Q135" s="10"/>
      <c r="R135" s="21"/>
      <c r="S135" s="12"/>
      <c r="T135" s="22"/>
      <c r="U135" s="22"/>
      <c r="V135" s="14"/>
      <c r="W135" s="14"/>
      <c r="X135" s="25"/>
      <c r="Y135" s="25"/>
      <c r="Z135" s="28"/>
      <c r="AA135" s="28"/>
      <c r="AB135" s="28"/>
      <c r="AC135" s="28"/>
      <c r="AD135" s="30"/>
      <c r="AE135" s="31"/>
      <c r="AF135" s="31"/>
      <c r="AG135" s="32"/>
      <c r="AH135" s="33"/>
      <c r="AI135" s="33"/>
      <c r="AJ135" s="33"/>
      <c r="AK135" s="34"/>
      <c r="AL135" s="36"/>
      <c r="AM135" s="36"/>
      <c r="AN135" s="36"/>
      <c r="AO135" s="32"/>
      <c r="AP135" s="40"/>
      <c r="AQ135" s="41"/>
      <c r="AR135" s="221"/>
      <c r="AS135" s="40"/>
      <c r="AT135" s="46"/>
    </row>
    <row r="136" ht="25.5" customHeight="1" spans="1:46">
      <c r="A136" s="258"/>
      <c r="B136" s="259"/>
      <c r="C136" s="260"/>
      <c r="D136" s="261"/>
      <c r="E136" s="266"/>
      <c r="F136" s="259"/>
      <c r="G136" s="259"/>
      <c r="H136" s="260"/>
      <c r="I136" s="266"/>
      <c r="J136" s="259"/>
      <c r="K136" s="266"/>
      <c r="L136" s="266"/>
      <c r="M136" s="266"/>
      <c r="N136" s="261"/>
      <c r="O136" s="268"/>
      <c r="P136" s="261"/>
      <c r="Q136" s="260"/>
      <c r="R136" s="266"/>
      <c r="S136" s="266"/>
      <c r="T136" s="266"/>
      <c r="U136" s="266"/>
      <c r="V136" s="260"/>
      <c r="W136" s="260"/>
      <c r="X136" s="266"/>
      <c r="Y136" s="270"/>
      <c r="Z136" s="271"/>
      <c r="AA136" s="271"/>
      <c r="AB136" s="271"/>
      <c r="AC136" s="271"/>
      <c r="AD136" s="272"/>
      <c r="AE136" s="273"/>
      <c r="AF136" s="273"/>
      <c r="AG136" s="273">
        <f>SUM(AG4:AG135)</f>
        <v>0</v>
      </c>
      <c r="AH136" s="273"/>
      <c r="AI136" s="273"/>
      <c r="AJ136" s="273">
        <f>SUM(AJ4:AJ135)</f>
        <v>0</v>
      </c>
      <c r="AK136" s="273">
        <f>SUM(AK4:AK135)</f>
        <v>0</v>
      </c>
      <c r="AL136" s="273"/>
      <c r="AM136" s="273">
        <f>SUM(AM4:AM135)</f>
        <v>0</v>
      </c>
      <c r="AN136" s="273">
        <f>SUM(AN4:AN135)</f>
        <v>0</v>
      </c>
      <c r="AO136" s="273"/>
      <c r="AP136" s="273">
        <f>SUM(AP4:AP135)</f>
        <v>7671431</v>
      </c>
      <c r="AQ136" s="273"/>
      <c r="AR136" s="276">
        <f>SUM(AR4:AR135)</f>
        <v>-2337829</v>
      </c>
      <c r="AS136" s="271"/>
      <c r="AT136" s="278">
        <f>SUM(AT4:AT135)</f>
        <v>0</v>
      </c>
    </row>
    <row r="137" ht="14.25" customHeight="1" spans="2:46">
      <c r="B137" s="262"/>
      <c r="C137" s="263"/>
      <c r="D137" s="264"/>
      <c r="E137" s="264"/>
      <c r="F137" s="262"/>
      <c r="G137" s="262"/>
      <c r="H137" s="262"/>
      <c r="I137" s="267"/>
      <c r="J137" s="262"/>
      <c r="K137" s="264"/>
      <c r="L137" s="264"/>
      <c r="M137" s="264"/>
      <c r="N137" s="264"/>
      <c r="O137" s="269"/>
      <c r="P137" s="264"/>
      <c r="Q137" s="263"/>
      <c r="R137" s="264"/>
      <c r="S137" s="267"/>
      <c r="T137" s="267"/>
      <c r="U137" s="267"/>
      <c r="V137" s="262"/>
      <c r="W137" s="262"/>
      <c r="AD137" s="274"/>
      <c r="AE137" s="275"/>
      <c r="AF137" s="275"/>
      <c r="AG137" s="275"/>
      <c r="AH137" s="275"/>
      <c r="AI137" s="275"/>
      <c r="AJ137" s="275"/>
      <c r="AK137" s="275"/>
      <c r="AL137" s="275"/>
      <c r="AM137" s="275"/>
      <c r="AN137" s="275"/>
      <c r="AO137" s="275"/>
      <c r="AP137" s="275"/>
      <c r="AQ137" s="263"/>
      <c r="AR137" s="277"/>
      <c r="AS137" s="264"/>
      <c r="AT137" s="262"/>
    </row>
    <row r="138" ht="14.25" customHeight="1" spans="2:46">
      <c r="B138" s="262"/>
      <c r="C138" s="263"/>
      <c r="D138" s="264"/>
      <c r="E138" s="264"/>
      <c r="F138" s="262"/>
      <c r="G138" s="262"/>
      <c r="H138" s="262"/>
      <c r="I138" s="267"/>
      <c r="J138" s="262"/>
      <c r="K138" s="264"/>
      <c r="L138" s="264"/>
      <c r="M138" s="264"/>
      <c r="N138" s="264"/>
      <c r="O138" s="269"/>
      <c r="P138" s="264"/>
      <c r="Q138" s="263"/>
      <c r="R138" s="264"/>
      <c r="S138" s="267"/>
      <c r="T138" s="267"/>
      <c r="U138" s="267"/>
      <c r="V138" s="262"/>
      <c r="W138" s="262"/>
      <c r="AD138" s="274"/>
      <c r="AE138" s="275"/>
      <c r="AF138" s="275"/>
      <c r="AG138" s="275"/>
      <c r="AH138" s="275"/>
      <c r="AI138" s="275"/>
      <c r="AJ138" s="275"/>
      <c r="AK138" s="275"/>
      <c r="AL138" s="275"/>
      <c r="AM138" s="275"/>
      <c r="AN138" s="275"/>
      <c r="AO138" s="275"/>
      <c r="AP138" s="275"/>
      <c r="AQ138" s="263"/>
      <c r="AR138" s="277"/>
      <c r="AS138" s="264"/>
      <c r="AT138" s="262"/>
    </row>
    <row r="139" ht="14.25" customHeight="1" spans="2:46">
      <c r="B139" s="262"/>
      <c r="C139" s="263"/>
      <c r="D139" s="264"/>
      <c r="E139" s="264"/>
      <c r="F139" s="262"/>
      <c r="G139" s="262"/>
      <c r="H139" s="262"/>
      <c r="I139" s="267"/>
      <c r="J139" s="262"/>
      <c r="K139" s="264"/>
      <c r="L139" s="264"/>
      <c r="M139" s="264"/>
      <c r="N139" s="264"/>
      <c r="O139" s="269"/>
      <c r="P139" s="264"/>
      <c r="Q139" s="263"/>
      <c r="R139" s="264"/>
      <c r="S139" s="267"/>
      <c r="T139" s="267"/>
      <c r="U139" s="267"/>
      <c r="V139" s="262"/>
      <c r="W139" s="262"/>
      <c r="AD139" s="274"/>
      <c r="AE139" s="275"/>
      <c r="AF139" s="275"/>
      <c r="AG139" s="275"/>
      <c r="AH139" s="275"/>
      <c r="AI139" s="275"/>
      <c r="AJ139" s="275"/>
      <c r="AK139" s="275"/>
      <c r="AL139" s="275"/>
      <c r="AM139" s="275"/>
      <c r="AN139" s="275"/>
      <c r="AO139" s="275"/>
      <c r="AP139" s="275"/>
      <c r="AQ139" s="263"/>
      <c r="AR139" s="277"/>
      <c r="AS139" s="264"/>
      <c r="AT139" s="262"/>
    </row>
    <row r="140" ht="14.25" customHeight="1" spans="2:46">
      <c r="B140" s="262"/>
      <c r="C140" s="263"/>
      <c r="D140" s="264"/>
      <c r="E140" s="264"/>
      <c r="F140" s="262"/>
      <c r="G140" s="262"/>
      <c r="H140" s="262"/>
      <c r="I140" s="267"/>
      <c r="J140" s="262"/>
      <c r="K140" s="264"/>
      <c r="L140" s="264"/>
      <c r="M140" s="264"/>
      <c r="N140" s="264"/>
      <c r="O140" s="269"/>
      <c r="P140" s="264"/>
      <c r="Q140" s="263"/>
      <c r="R140" s="264"/>
      <c r="S140" s="267"/>
      <c r="T140" s="267"/>
      <c r="U140" s="267"/>
      <c r="V140" s="262"/>
      <c r="W140" s="262"/>
      <c r="AD140" s="274"/>
      <c r="AE140" s="275"/>
      <c r="AF140" s="275"/>
      <c r="AG140" s="275"/>
      <c r="AH140" s="275"/>
      <c r="AI140" s="275"/>
      <c r="AJ140" s="275"/>
      <c r="AK140" s="275"/>
      <c r="AL140" s="275"/>
      <c r="AM140" s="275"/>
      <c r="AN140" s="275"/>
      <c r="AO140" s="275"/>
      <c r="AP140" s="275"/>
      <c r="AQ140" s="263"/>
      <c r="AR140" s="277"/>
      <c r="AS140" s="264"/>
      <c r="AT140" s="262"/>
    </row>
    <row r="141" ht="14.25" customHeight="1" spans="2:46">
      <c r="B141" s="262"/>
      <c r="C141" s="263"/>
      <c r="D141" s="264"/>
      <c r="E141" s="264"/>
      <c r="F141" s="262"/>
      <c r="G141" s="262"/>
      <c r="H141" s="262"/>
      <c r="I141" s="267"/>
      <c r="J141" s="262"/>
      <c r="K141" s="264"/>
      <c r="L141" s="264"/>
      <c r="M141" s="264"/>
      <c r="N141" s="264"/>
      <c r="O141" s="269"/>
      <c r="P141" s="264"/>
      <c r="Q141" s="263"/>
      <c r="R141" s="264"/>
      <c r="S141" s="267"/>
      <c r="T141" s="267"/>
      <c r="U141" s="267"/>
      <c r="V141" s="262"/>
      <c r="W141" s="262"/>
      <c r="AD141" s="274"/>
      <c r="AE141" s="275"/>
      <c r="AF141" s="275"/>
      <c r="AG141" s="275"/>
      <c r="AH141" s="275"/>
      <c r="AI141" s="275"/>
      <c r="AJ141" s="275"/>
      <c r="AK141" s="275"/>
      <c r="AL141" s="275"/>
      <c r="AM141" s="275"/>
      <c r="AN141" s="275"/>
      <c r="AO141" s="275"/>
      <c r="AP141" s="275"/>
      <c r="AQ141" s="263"/>
      <c r="AR141" s="277"/>
      <c r="AS141" s="264"/>
      <c r="AT141" s="262"/>
    </row>
    <row r="142" ht="14.25" customHeight="1" spans="2:46">
      <c r="B142" s="262"/>
      <c r="C142" s="263"/>
      <c r="D142" s="264"/>
      <c r="E142" s="264"/>
      <c r="F142" s="262"/>
      <c r="G142" s="262"/>
      <c r="H142" s="262"/>
      <c r="I142" s="267"/>
      <c r="J142" s="262"/>
      <c r="K142" s="264"/>
      <c r="L142" s="264"/>
      <c r="M142" s="264"/>
      <c r="N142" s="264"/>
      <c r="O142" s="269"/>
      <c r="P142" s="264"/>
      <c r="Q142" s="263"/>
      <c r="R142" s="264"/>
      <c r="S142" s="267"/>
      <c r="T142" s="267"/>
      <c r="U142" s="267"/>
      <c r="V142" s="262"/>
      <c r="W142" s="262"/>
      <c r="AD142" s="274"/>
      <c r="AE142" s="275"/>
      <c r="AF142" s="275"/>
      <c r="AG142" s="275"/>
      <c r="AH142" s="275"/>
      <c r="AI142" s="275"/>
      <c r="AJ142" s="275"/>
      <c r="AK142" s="275"/>
      <c r="AL142" s="275"/>
      <c r="AM142" s="275"/>
      <c r="AN142" s="275"/>
      <c r="AO142" s="275"/>
      <c r="AP142" s="275"/>
      <c r="AQ142" s="263"/>
      <c r="AR142" s="277"/>
      <c r="AS142" s="264"/>
      <c r="AT142" s="262"/>
    </row>
    <row r="143" ht="14.25" customHeight="1" spans="2:46">
      <c r="B143" s="262"/>
      <c r="C143" s="263"/>
      <c r="D143" s="264"/>
      <c r="E143" s="264"/>
      <c r="F143" s="262"/>
      <c r="G143" s="262"/>
      <c r="H143" s="262"/>
      <c r="I143" s="267"/>
      <c r="J143" s="262"/>
      <c r="K143" s="264"/>
      <c r="L143" s="264"/>
      <c r="M143" s="264"/>
      <c r="N143" s="264"/>
      <c r="O143" s="269"/>
      <c r="P143" s="264"/>
      <c r="Q143" s="263"/>
      <c r="R143" s="264"/>
      <c r="S143" s="267"/>
      <c r="T143" s="267"/>
      <c r="U143" s="267"/>
      <c r="V143" s="262"/>
      <c r="W143" s="262"/>
      <c r="AD143" s="274"/>
      <c r="AE143" s="275"/>
      <c r="AF143" s="275"/>
      <c r="AG143" s="275"/>
      <c r="AH143" s="275"/>
      <c r="AI143" s="275"/>
      <c r="AJ143" s="275"/>
      <c r="AK143" s="275"/>
      <c r="AL143" s="275"/>
      <c r="AM143" s="275"/>
      <c r="AN143" s="275"/>
      <c r="AO143" s="275"/>
      <c r="AP143" s="275"/>
      <c r="AQ143" s="263"/>
      <c r="AR143" s="277"/>
      <c r="AS143" s="264"/>
      <c r="AT143" s="262"/>
    </row>
    <row r="144" ht="14.25" customHeight="1" spans="2:46">
      <c r="B144" s="262"/>
      <c r="C144" s="263"/>
      <c r="D144" s="264"/>
      <c r="E144" s="264"/>
      <c r="F144" s="262"/>
      <c r="G144" s="262"/>
      <c r="H144" s="262"/>
      <c r="I144" s="267"/>
      <c r="J144" s="262"/>
      <c r="K144" s="264"/>
      <c r="L144" s="264"/>
      <c r="M144" s="264"/>
      <c r="N144" s="264"/>
      <c r="O144" s="269"/>
      <c r="P144" s="264"/>
      <c r="Q144" s="263"/>
      <c r="R144" s="264"/>
      <c r="S144" s="267"/>
      <c r="T144" s="267"/>
      <c r="U144" s="267"/>
      <c r="V144" s="262"/>
      <c r="W144" s="262"/>
      <c r="AD144" s="274"/>
      <c r="AE144" s="275"/>
      <c r="AF144" s="275"/>
      <c r="AG144" s="275"/>
      <c r="AH144" s="275"/>
      <c r="AI144" s="275"/>
      <c r="AJ144" s="275"/>
      <c r="AK144" s="275"/>
      <c r="AL144" s="275"/>
      <c r="AM144" s="275"/>
      <c r="AN144" s="275"/>
      <c r="AO144" s="275"/>
      <c r="AP144" s="275"/>
      <c r="AQ144" s="263"/>
      <c r="AR144" s="277"/>
      <c r="AS144" s="264"/>
      <c r="AT144" s="262"/>
    </row>
    <row r="145" ht="14.25" customHeight="1" spans="2:46">
      <c r="B145" s="262"/>
      <c r="C145" s="263"/>
      <c r="D145" s="264"/>
      <c r="E145" s="264"/>
      <c r="F145" s="262"/>
      <c r="G145" s="262"/>
      <c r="H145" s="262"/>
      <c r="I145" s="267"/>
      <c r="J145" s="262"/>
      <c r="K145" s="264"/>
      <c r="L145" s="264"/>
      <c r="M145" s="264"/>
      <c r="N145" s="264"/>
      <c r="O145" s="269"/>
      <c r="P145" s="264"/>
      <c r="Q145" s="263"/>
      <c r="R145" s="264"/>
      <c r="S145" s="267"/>
      <c r="T145" s="267"/>
      <c r="U145" s="267"/>
      <c r="V145" s="262"/>
      <c r="W145" s="262"/>
      <c r="AD145" s="274"/>
      <c r="AE145" s="275"/>
      <c r="AF145" s="275"/>
      <c r="AG145" s="275"/>
      <c r="AH145" s="275"/>
      <c r="AI145" s="275"/>
      <c r="AJ145" s="275"/>
      <c r="AK145" s="275"/>
      <c r="AL145" s="275"/>
      <c r="AM145" s="275"/>
      <c r="AN145" s="275"/>
      <c r="AO145" s="275"/>
      <c r="AP145" s="275"/>
      <c r="AQ145" s="263"/>
      <c r="AR145" s="277"/>
      <c r="AS145" s="264"/>
      <c r="AT145" s="262"/>
    </row>
    <row r="146" ht="14.25" customHeight="1" spans="2:46">
      <c r="B146" s="262"/>
      <c r="C146" s="263"/>
      <c r="D146" s="264"/>
      <c r="E146" s="264"/>
      <c r="F146" s="262"/>
      <c r="G146" s="262"/>
      <c r="H146" s="262"/>
      <c r="I146" s="267"/>
      <c r="J146" s="262"/>
      <c r="K146" s="264"/>
      <c r="L146" s="264"/>
      <c r="M146" s="264"/>
      <c r="N146" s="264"/>
      <c r="O146" s="269"/>
      <c r="P146" s="264"/>
      <c r="Q146" s="263"/>
      <c r="R146" s="264"/>
      <c r="S146" s="267"/>
      <c r="T146" s="267"/>
      <c r="U146" s="267"/>
      <c r="V146" s="262"/>
      <c r="W146" s="262"/>
      <c r="AD146" s="274"/>
      <c r="AE146" s="275"/>
      <c r="AF146" s="275"/>
      <c r="AG146" s="275"/>
      <c r="AH146" s="275"/>
      <c r="AI146" s="275"/>
      <c r="AJ146" s="275"/>
      <c r="AK146" s="275"/>
      <c r="AL146" s="275"/>
      <c r="AM146" s="275"/>
      <c r="AN146" s="275"/>
      <c r="AO146" s="275"/>
      <c r="AP146" s="275"/>
      <c r="AQ146" s="263"/>
      <c r="AR146" s="277"/>
      <c r="AS146" s="264"/>
      <c r="AT146" s="262"/>
    </row>
    <row r="147" ht="14.25" customHeight="1" spans="2:46">
      <c r="B147" s="262"/>
      <c r="C147" s="263"/>
      <c r="D147" s="264"/>
      <c r="E147" s="264"/>
      <c r="F147" s="262"/>
      <c r="G147" s="262"/>
      <c r="H147" s="262"/>
      <c r="I147" s="267"/>
      <c r="J147" s="262"/>
      <c r="K147" s="264"/>
      <c r="L147" s="264"/>
      <c r="M147" s="264"/>
      <c r="N147" s="264"/>
      <c r="O147" s="269"/>
      <c r="P147" s="264"/>
      <c r="Q147" s="263"/>
      <c r="R147" s="264"/>
      <c r="S147" s="267"/>
      <c r="T147" s="267"/>
      <c r="U147" s="267"/>
      <c r="V147" s="262"/>
      <c r="W147" s="262"/>
      <c r="AD147" s="274"/>
      <c r="AE147" s="275"/>
      <c r="AF147" s="275"/>
      <c r="AG147" s="275"/>
      <c r="AH147" s="275"/>
      <c r="AI147" s="275"/>
      <c r="AJ147" s="275"/>
      <c r="AK147" s="275"/>
      <c r="AL147" s="275"/>
      <c r="AM147" s="275"/>
      <c r="AN147" s="275"/>
      <c r="AO147" s="275"/>
      <c r="AP147" s="275"/>
      <c r="AQ147" s="263"/>
      <c r="AR147" s="277"/>
      <c r="AS147" s="264"/>
      <c r="AT147" s="262"/>
    </row>
    <row r="148" ht="14.25" customHeight="1" spans="2:46">
      <c r="B148" s="262"/>
      <c r="C148" s="263"/>
      <c r="D148" s="264"/>
      <c r="E148" s="264"/>
      <c r="F148" s="262"/>
      <c r="G148" s="262"/>
      <c r="H148" s="262"/>
      <c r="I148" s="267"/>
      <c r="J148" s="262"/>
      <c r="K148" s="264"/>
      <c r="L148" s="264"/>
      <c r="M148" s="264"/>
      <c r="N148" s="264"/>
      <c r="O148" s="269"/>
      <c r="P148" s="264"/>
      <c r="Q148" s="263"/>
      <c r="R148" s="264"/>
      <c r="S148" s="267"/>
      <c r="T148" s="267"/>
      <c r="U148" s="267"/>
      <c r="V148" s="262"/>
      <c r="W148" s="262"/>
      <c r="AD148" s="274"/>
      <c r="AE148" s="275"/>
      <c r="AF148" s="275"/>
      <c r="AG148" s="275"/>
      <c r="AH148" s="275"/>
      <c r="AI148" s="275"/>
      <c r="AJ148" s="275"/>
      <c r="AK148" s="275"/>
      <c r="AL148" s="275"/>
      <c r="AM148" s="275"/>
      <c r="AN148" s="275"/>
      <c r="AO148" s="275"/>
      <c r="AP148" s="275"/>
      <c r="AQ148" s="263"/>
      <c r="AR148" s="277"/>
      <c r="AS148" s="264"/>
      <c r="AT148" s="262"/>
    </row>
    <row r="149" ht="14.25" customHeight="1" spans="2:46">
      <c r="B149" s="262"/>
      <c r="C149" s="263"/>
      <c r="D149" s="264"/>
      <c r="E149" s="264"/>
      <c r="F149" s="262"/>
      <c r="G149" s="262"/>
      <c r="H149" s="262"/>
      <c r="I149" s="267"/>
      <c r="J149" s="262"/>
      <c r="K149" s="264"/>
      <c r="L149" s="264"/>
      <c r="M149" s="264"/>
      <c r="N149" s="264"/>
      <c r="O149" s="269"/>
      <c r="P149" s="264"/>
      <c r="Q149" s="263"/>
      <c r="R149" s="264"/>
      <c r="S149" s="267"/>
      <c r="T149" s="267"/>
      <c r="U149" s="267"/>
      <c r="V149" s="262"/>
      <c r="W149" s="262"/>
      <c r="AD149" s="274"/>
      <c r="AE149" s="275"/>
      <c r="AF149" s="275"/>
      <c r="AG149" s="275"/>
      <c r="AH149" s="275"/>
      <c r="AI149" s="275"/>
      <c r="AJ149" s="275"/>
      <c r="AK149" s="275"/>
      <c r="AL149" s="275"/>
      <c r="AM149" s="275"/>
      <c r="AN149" s="275"/>
      <c r="AO149" s="275"/>
      <c r="AP149" s="275"/>
      <c r="AQ149" s="263"/>
      <c r="AR149" s="277"/>
      <c r="AS149" s="264"/>
      <c r="AT149" s="262"/>
    </row>
    <row r="150" ht="14.25" customHeight="1" spans="2:46">
      <c r="B150" s="262"/>
      <c r="C150" s="263"/>
      <c r="D150" s="264"/>
      <c r="E150" s="264"/>
      <c r="F150" s="262"/>
      <c r="G150" s="262"/>
      <c r="H150" s="262"/>
      <c r="I150" s="267"/>
      <c r="J150" s="262"/>
      <c r="K150" s="264"/>
      <c r="L150" s="264"/>
      <c r="M150" s="264"/>
      <c r="N150" s="264"/>
      <c r="O150" s="269"/>
      <c r="P150" s="264"/>
      <c r="Q150" s="263"/>
      <c r="R150" s="264"/>
      <c r="S150" s="267"/>
      <c r="T150" s="267"/>
      <c r="U150" s="267"/>
      <c r="V150" s="262"/>
      <c r="W150" s="262"/>
      <c r="AD150" s="274"/>
      <c r="AE150" s="275"/>
      <c r="AF150" s="275"/>
      <c r="AG150" s="275"/>
      <c r="AH150" s="275"/>
      <c r="AI150" s="275"/>
      <c r="AJ150" s="275"/>
      <c r="AK150" s="275"/>
      <c r="AL150" s="275"/>
      <c r="AM150" s="275"/>
      <c r="AN150" s="275"/>
      <c r="AO150" s="275"/>
      <c r="AP150" s="275"/>
      <c r="AQ150" s="263"/>
      <c r="AR150" s="277"/>
      <c r="AS150" s="264"/>
      <c r="AT150" s="262"/>
    </row>
    <row r="151" ht="14.25" customHeight="1" spans="2:46">
      <c r="B151" s="262"/>
      <c r="C151" s="263"/>
      <c r="D151" s="264"/>
      <c r="E151" s="264"/>
      <c r="F151" s="262"/>
      <c r="G151" s="262"/>
      <c r="H151" s="262"/>
      <c r="I151" s="267"/>
      <c r="J151" s="262"/>
      <c r="K151" s="264"/>
      <c r="L151" s="264"/>
      <c r="M151" s="264"/>
      <c r="N151" s="264"/>
      <c r="O151" s="269"/>
      <c r="P151" s="264"/>
      <c r="Q151" s="263"/>
      <c r="R151" s="264"/>
      <c r="S151" s="267"/>
      <c r="T151" s="267"/>
      <c r="U151" s="267"/>
      <c r="V151" s="262"/>
      <c r="W151" s="262"/>
      <c r="AD151" s="274"/>
      <c r="AE151" s="275"/>
      <c r="AF151" s="275"/>
      <c r="AG151" s="275"/>
      <c r="AH151" s="275"/>
      <c r="AI151" s="275"/>
      <c r="AJ151" s="275"/>
      <c r="AK151" s="275"/>
      <c r="AL151" s="275"/>
      <c r="AM151" s="275"/>
      <c r="AN151" s="275"/>
      <c r="AO151" s="275"/>
      <c r="AP151" s="275"/>
      <c r="AQ151" s="263"/>
      <c r="AR151" s="277"/>
      <c r="AS151" s="264"/>
      <c r="AT151" s="262"/>
    </row>
    <row r="152" ht="14.25" customHeight="1" spans="2:46">
      <c r="B152" s="262"/>
      <c r="C152" s="263"/>
      <c r="D152" s="264"/>
      <c r="E152" s="264"/>
      <c r="F152" s="262"/>
      <c r="G152" s="262"/>
      <c r="H152" s="262"/>
      <c r="I152" s="267"/>
      <c r="J152" s="262"/>
      <c r="K152" s="264"/>
      <c r="L152" s="264"/>
      <c r="M152" s="264"/>
      <c r="N152" s="264"/>
      <c r="O152" s="269"/>
      <c r="P152" s="264"/>
      <c r="Q152" s="263"/>
      <c r="R152" s="264"/>
      <c r="S152" s="267"/>
      <c r="T152" s="267"/>
      <c r="U152" s="267"/>
      <c r="V152" s="262"/>
      <c r="W152" s="262"/>
      <c r="AD152" s="274"/>
      <c r="AE152" s="275"/>
      <c r="AF152" s="275"/>
      <c r="AG152" s="275"/>
      <c r="AH152" s="275"/>
      <c r="AI152" s="275"/>
      <c r="AJ152" s="275"/>
      <c r="AK152" s="275"/>
      <c r="AL152" s="275"/>
      <c r="AM152" s="275"/>
      <c r="AN152" s="275"/>
      <c r="AO152" s="275"/>
      <c r="AP152" s="275"/>
      <c r="AQ152" s="263"/>
      <c r="AR152" s="277"/>
      <c r="AS152" s="264"/>
      <c r="AT152" s="262"/>
    </row>
    <row r="153" ht="14.25" customHeight="1" spans="2:46">
      <c r="B153" s="262"/>
      <c r="C153" s="263"/>
      <c r="D153" s="264"/>
      <c r="E153" s="264"/>
      <c r="F153" s="262"/>
      <c r="G153" s="262"/>
      <c r="H153" s="262"/>
      <c r="I153" s="267"/>
      <c r="J153" s="262"/>
      <c r="K153" s="264"/>
      <c r="L153" s="264"/>
      <c r="M153" s="264"/>
      <c r="N153" s="264"/>
      <c r="O153" s="269"/>
      <c r="P153" s="264"/>
      <c r="Q153" s="263"/>
      <c r="R153" s="264"/>
      <c r="S153" s="267"/>
      <c r="T153" s="267"/>
      <c r="U153" s="267"/>
      <c r="V153" s="262"/>
      <c r="W153" s="262"/>
      <c r="AD153" s="274"/>
      <c r="AE153" s="275"/>
      <c r="AF153" s="275"/>
      <c r="AG153" s="275"/>
      <c r="AH153" s="275"/>
      <c r="AI153" s="275"/>
      <c r="AJ153" s="275"/>
      <c r="AK153" s="275"/>
      <c r="AL153" s="275"/>
      <c r="AM153" s="275"/>
      <c r="AN153" s="275"/>
      <c r="AO153" s="275"/>
      <c r="AP153" s="275"/>
      <c r="AQ153" s="263"/>
      <c r="AR153" s="277"/>
      <c r="AS153" s="264"/>
      <c r="AT153" s="262"/>
    </row>
    <row r="154" ht="14.25" customHeight="1" spans="2:46">
      <c r="B154" s="262"/>
      <c r="C154" s="263"/>
      <c r="D154" s="264"/>
      <c r="E154" s="264"/>
      <c r="F154" s="262"/>
      <c r="G154" s="262"/>
      <c r="H154" s="262"/>
      <c r="I154" s="267"/>
      <c r="J154" s="262"/>
      <c r="K154" s="264"/>
      <c r="L154" s="264"/>
      <c r="M154" s="264"/>
      <c r="N154" s="264"/>
      <c r="O154" s="269"/>
      <c r="P154" s="264"/>
      <c r="Q154" s="263"/>
      <c r="R154" s="264"/>
      <c r="S154" s="267"/>
      <c r="T154" s="267"/>
      <c r="U154" s="267"/>
      <c r="V154" s="262"/>
      <c r="W154" s="262"/>
      <c r="AD154" s="274"/>
      <c r="AE154" s="275"/>
      <c r="AF154" s="275"/>
      <c r="AG154" s="275"/>
      <c r="AH154" s="275"/>
      <c r="AI154" s="275"/>
      <c r="AJ154" s="275"/>
      <c r="AK154" s="275"/>
      <c r="AL154" s="275"/>
      <c r="AM154" s="275"/>
      <c r="AN154" s="275"/>
      <c r="AO154" s="275"/>
      <c r="AP154" s="275"/>
      <c r="AQ154" s="263"/>
      <c r="AR154" s="277"/>
      <c r="AS154" s="264"/>
      <c r="AT154" s="262"/>
    </row>
    <row r="155" ht="14.25" customHeight="1" spans="2:46">
      <c r="B155" s="262"/>
      <c r="C155" s="263"/>
      <c r="D155" s="264"/>
      <c r="E155" s="264"/>
      <c r="F155" s="262"/>
      <c r="G155" s="262"/>
      <c r="H155" s="262"/>
      <c r="I155" s="267"/>
      <c r="J155" s="262"/>
      <c r="K155" s="264"/>
      <c r="L155" s="264"/>
      <c r="M155" s="264"/>
      <c r="N155" s="264"/>
      <c r="O155" s="269"/>
      <c r="P155" s="264"/>
      <c r="Q155" s="263"/>
      <c r="R155" s="264"/>
      <c r="S155" s="267"/>
      <c r="T155" s="267"/>
      <c r="U155" s="267"/>
      <c r="V155" s="262"/>
      <c r="W155" s="262"/>
      <c r="AD155" s="274"/>
      <c r="AE155" s="275"/>
      <c r="AF155" s="275"/>
      <c r="AG155" s="275"/>
      <c r="AH155" s="275"/>
      <c r="AI155" s="275"/>
      <c r="AJ155" s="275"/>
      <c r="AK155" s="275"/>
      <c r="AL155" s="275"/>
      <c r="AM155" s="275"/>
      <c r="AN155" s="275"/>
      <c r="AO155" s="275"/>
      <c r="AP155" s="275"/>
      <c r="AQ155" s="263"/>
      <c r="AR155" s="277"/>
      <c r="AS155" s="264"/>
      <c r="AT155" s="262"/>
    </row>
    <row r="156" ht="14.25" customHeight="1" spans="2:46">
      <c r="B156" s="262"/>
      <c r="C156" s="263"/>
      <c r="D156" s="264"/>
      <c r="E156" s="264"/>
      <c r="F156" s="262"/>
      <c r="G156" s="262"/>
      <c r="H156" s="262"/>
      <c r="I156" s="267"/>
      <c r="J156" s="262"/>
      <c r="K156" s="264"/>
      <c r="L156" s="264"/>
      <c r="M156" s="264"/>
      <c r="N156" s="264"/>
      <c r="O156" s="269"/>
      <c r="P156" s="264"/>
      <c r="Q156" s="263"/>
      <c r="R156" s="264"/>
      <c r="S156" s="267"/>
      <c r="T156" s="267"/>
      <c r="U156" s="267"/>
      <c r="V156" s="262"/>
      <c r="W156" s="262"/>
      <c r="AD156" s="274"/>
      <c r="AE156" s="275"/>
      <c r="AF156" s="275"/>
      <c r="AG156" s="275"/>
      <c r="AH156" s="275"/>
      <c r="AI156" s="275"/>
      <c r="AJ156" s="275"/>
      <c r="AK156" s="275"/>
      <c r="AL156" s="275"/>
      <c r="AM156" s="275"/>
      <c r="AN156" s="275"/>
      <c r="AO156" s="275"/>
      <c r="AP156" s="275"/>
      <c r="AQ156" s="263"/>
      <c r="AR156" s="277"/>
      <c r="AS156" s="264"/>
      <c r="AT156" s="262"/>
    </row>
    <row r="157" ht="14.25" customHeight="1" spans="2:46">
      <c r="B157" s="262"/>
      <c r="C157" s="263"/>
      <c r="D157" s="264"/>
      <c r="E157" s="264"/>
      <c r="F157" s="262"/>
      <c r="G157" s="262"/>
      <c r="H157" s="262"/>
      <c r="I157" s="267"/>
      <c r="J157" s="262"/>
      <c r="K157" s="264"/>
      <c r="L157" s="264"/>
      <c r="M157" s="264"/>
      <c r="N157" s="264"/>
      <c r="O157" s="269"/>
      <c r="P157" s="264"/>
      <c r="Q157" s="263"/>
      <c r="R157" s="264"/>
      <c r="S157" s="267"/>
      <c r="T157" s="267"/>
      <c r="U157" s="267"/>
      <c r="V157" s="262"/>
      <c r="W157" s="262"/>
      <c r="AD157" s="274"/>
      <c r="AE157" s="275"/>
      <c r="AF157" s="275"/>
      <c r="AG157" s="275"/>
      <c r="AH157" s="275"/>
      <c r="AI157" s="275"/>
      <c r="AJ157" s="275"/>
      <c r="AK157" s="275"/>
      <c r="AL157" s="275"/>
      <c r="AM157" s="275"/>
      <c r="AN157" s="275"/>
      <c r="AO157" s="275"/>
      <c r="AP157" s="275"/>
      <c r="AQ157" s="263"/>
      <c r="AR157" s="277"/>
      <c r="AS157" s="264"/>
      <c r="AT157" s="262"/>
    </row>
    <row r="158" ht="14.25" customHeight="1" spans="2:46">
      <c r="B158" s="262"/>
      <c r="C158" s="263"/>
      <c r="D158" s="264"/>
      <c r="E158" s="264"/>
      <c r="F158" s="262"/>
      <c r="G158" s="262"/>
      <c r="H158" s="262"/>
      <c r="I158" s="267"/>
      <c r="J158" s="262"/>
      <c r="K158" s="264"/>
      <c r="L158" s="264"/>
      <c r="M158" s="264"/>
      <c r="N158" s="264"/>
      <c r="O158" s="269"/>
      <c r="P158" s="264"/>
      <c r="Q158" s="263"/>
      <c r="R158" s="264"/>
      <c r="S158" s="267"/>
      <c r="T158" s="267"/>
      <c r="U158" s="267"/>
      <c r="V158" s="262"/>
      <c r="W158" s="262"/>
      <c r="AD158" s="274"/>
      <c r="AE158" s="275"/>
      <c r="AF158" s="275"/>
      <c r="AG158" s="275"/>
      <c r="AH158" s="275"/>
      <c r="AI158" s="275"/>
      <c r="AJ158" s="275"/>
      <c r="AK158" s="275"/>
      <c r="AL158" s="275"/>
      <c r="AM158" s="275"/>
      <c r="AN158" s="275"/>
      <c r="AO158" s="275"/>
      <c r="AP158" s="275"/>
      <c r="AQ158" s="263"/>
      <c r="AR158" s="277"/>
      <c r="AS158" s="264"/>
      <c r="AT158" s="262"/>
    </row>
    <row r="159" ht="14.25" customHeight="1" spans="2:46">
      <c r="B159" s="262"/>
      <c r="C159" s="263"/>
      <c r="D159" s="264"/>
      <c r="E159" s="264"/>
      <c r="F159" s="262"/>
      <c r="G159" s="262"/>
      <c r="H159" s="262"/>
      <c r="I159" s="267"/>
      <c r="J159" s="262"/>
      <c r="K159" s="264"/>
      <c r="L159" s="264"/>
      <c r="M159" s="264"/>
      <c r="N159" s="264"/>
      <c r="O159" s="269"/>
      <c r="P159" s="264"/>
      <c r="Q159" s="263"/>
      <c r="R159" s="264"/>
      <c r="S159" s="267"/>
      <c r="T159" s="267"/>
      <c r="U159" s="267"/>
      <c r="V159" s="262"/>
      <c r="W159" s="262"/>
      <c r="AD159" s="274"/>
      <c r="AE159" s="275"/>
      <c r="AF159" s="275"/>
      <c r="AG159" s="275"/>
      <c r="AH159" s="275"/>
      <c r="AI159" s="275"/>
      <c r="AJ159" s="275"/>
      <c r="AK159" s="275"/>
      <c r="AL159" s="275"/>
      <c r="AM159" s="275"/>
      <c r="AN159" s="275"/>
      <c r="AO159" s="275"/>
      <c r="AP159" s="275"/>
      <c r="AQ159" s="263"/>
      <c r="AR159" s="277"/>
      <c r="AS159" s="264"/>
      <c r="AT159" s="262"/>
    </row>
    <row r="160" ht="14.25" customHeight="1" spans="2:46">
      <c r="B160" s="262"/>
      <c r="C160" s="263"/>
      <c r="D160" s="264"/>
      <c r="E160" s="264"/>
      <c r="F160" s="262"/>
      <c r="G160" s="262"/>
      <c r="H160" s="262"/>
      <c r="I160" s="267"/>
      <c r="J160" s="262"/>
      <c r="K160" s="264"/>
      <c r="L160" s="264"/>
      <c r="M160" s="264"/>
      <c r="N160" s="264"/>
      <c r="O160" s="269"/>
      <c r="P160" s="264"/>
      <c r="Q160" s="263"/>
      <c r="R160" s="264"/>
      <c r="S160" s="267"/>
      <c r="T160" s="267"/>
      <c r="U160" s="267"/>
      <c r="V160" s="262"/>
      <c r="W160" s="262"/>
      <c r="AD160" s="274"/>
      <c r="AE160" s="275"/>
      <c r="AF160" s="275"/>
      <c r="AG160" s="275"/>
      <c r="AH160" s="275"/>
      <c r="AI160" s="275"/>
      <c r="AJ160" s="275"/>
      <c r="AK160" s="275"/>
      <c r="AL160" s="275"/>
      <c r="AM160" s="275"/>
      <c r="AN160" s="275"/>
      <c r="AO160" s="275"/>
      <c r="AP160" s="275"/>
      <c r="AQ160" s="263"/>
      <c r="AR160" s="277"/>
      <c r="AS160" s="264"/>
      <c r="AT160" s="262"/>
    </row>
    <row r="161" ht="14.25" customHeight="1" spans="2:46">
      <c r="B161" s="262"/>
      <c r="C161" s="263"/>
      <c r="D161" s="264"/>
      <c r="E161" s="264"/>
      <c r="F161" s="262"/>
      <c r="G161" s="262"/>
      <c r="H161" s="262"/>
      <c r="I161" s="267"/>
      <c r="J161" s="262"/>
      <c r="K161" s="264"/>
      <c r="L161" s="264"/>
      <c r="M161" s="264"/>
      <c r="N161" s="264"/>
      <c r="O161" s="269"/>
      <c r="P161" s="264"/>
      <c r="Q161" s="263"/>
      <c r="R161" s="264"/>
      <c r="S161" s="267"/>
      <c r="T161" s="267"/>
      <c r="U161" s="267"/>
      <c r="V161" s="262"/>
      <c r="W161" s="262"/>
      <c r="AD161" s="274"/>
      <c r="AE161" s="275"/>
      <c r="AF161" s="275"/>
      <c r="AG161" s="275"/>
      <c r="AH161" s="275"/>
      <c r="AI161" s="275"/>
      <c r="AJ161" s="275"/>
      <c r="AK161" s="275"/>
      <c r="AL161" s="275"/>
      <c r="AM161" s="275"/>
      <c r="AN161" s="275"/>
      <c r="AO161" s="275"/>
      <c r="AP161" s="275"/>
      <c r="AQ161" s="263"/>
      <c r="AR161" s="277"/>
      <c r="AS161" s="264"/>
      <c r="AT161" s="262"/>
    </row>
    <row r="162" ht="14.25" customHeight="1" spans="2:46">
      <c r="B162" s="262"/>
      <c r="C162" s="263"/>
      <c r="D162" s="264"/>
      <c r="E162" s="264"/>
      <c r="F162" s="262"/>
      <c r="G162" s="262"/>
      <c r="H162" s="262"/>
      <c r="I162" s="267"/>
      <c r="J162" s="262"/>
      <c r="K162" s="264"/>
      <c r="L162" s="264"/>
      <c r="M162" s="264"/>
      <c r="N162" s="264"/>
      <c r="O162" s="269"/>
      <c r="P162" s="264"/>
      <c r="Q162" s="263"/>
      <c r="R162" s="264"/>
      <c r="S162" s="267"/>
      <c r="T162" s="267"/>
      <c r="U162" s="267"/>
      <c r="V162" s="262"/>
      <c r="W162" s="262"/>
      <c r="AD162" s="274"/>
      <c r="AE162" s="275"/>
      <c r="AF162" s="275"/>
      <c r="AG162" s="275"/>
      <c r="AH162" s="275"/>
      <c r="AI162" s="275"/>
      <c r="AJ162" s="275"/>
      <c r="AK162" s="275"/>
      <c r="AL162" s="275"/>
      <c r="AM162" s="275"/>
      <c r="AN162" s="275"/>
      <c r="AO162" s="275"/>
      <c r="AP162" s="275"/>
      <c r="AQ162" s="263"/>
      <c r="AR162" s="277"/>
      <c r="AS162" s="264"/>
      <c r="AT162" s="262"/>
    </row>
    <row r="163" ht="14.25" customHeight="1" spans="2:46">
      <c r="B163" s="262"/>
      <c r="C163" s="263"/>
      <c r="D163" s="264"/>
      <c r="E163" s="264"/>
      <c r="F163" s="262"/>
      <c r="G163" s="262"/>
      <c r="H163" s="262"/>
      <c r="I163" s="267"/>
      <c r="J163" s="262"/>
      <c r="K163" s="264"/>
      <c r="L163" s="264"/>
      <c r="M163" s="264"/>
      <c r="N163" s="264"/>
      <c r="O163" s="269"/>
      <c r="P163" s="264"/>
      <c r="Q163" s="263"/>
      <c r="R163" s="264"/>
      <c r="S163" s="267"/>
      <c r="T163" s="267"/>
      <c r="U163" s="267"/>
      <c r="V163" s="262"/>
      <c r="W163" s="262"/>
      <c r="AD163" s="274"/>
      <c r="AE163" s="275"/>
      <c r="AF163" s="275"/>
      <c r="AG163" s="275"/>
      <c r="AH163" s="275"/>
      <c r="AI163" s="275"/>
      <c r="AJ163" s="275"/>
      <c r="AK163" s="275"/>
      <c r="AL163" s="275"/>
      <c r="AM163" s="275"/>
      <c r="AN163" s="275"/>
      <c r="AO163" s="275"/>
      <c r="AP163" s="275"/>
      <c r="AQ163" s="263"/>
      <c r="AR163" s="277"/>
      <c r="AS163" s="264"/>
      <c r="AT163" s="262"/>
    </row>
    <row r="164" ht="14.25" customHeight="1" spans="2:46">
      <c r="B164" s="262"/>
      <c r="C164" s="263"/>
      <c r="D164" s="264"/>
      <c r="E164" s="264"/>
      <c r="F164" s="262"/>
      <c r="G164" s="262"/>
      <c r="H164" s="262"/>
      <c r="I164" s="267"/>
      <c r="J164" s="262"/>
      <c r="K164" s="264"/>
      <c r="L164" s="264"/>
      <c r="M164" s="264"/>
      <c r="N164" s="264"/>
      <c r="O164" s="269"/>
      <c r="P164" s="264"/>
      <c r="Q164" s="263"/>
      <c r="R164" s="264"/>
      <c r="S164" s="267"/>
      <c r="T164" s="267"/>
      <c r="U164" s="267"/>
      <c r="V164" s="262"/>
      <c r="W164" s="262"/>
      <c r="AD164" s="274"/>
      <c r="AE164" s="275"/>
      <c r="AF164" s="275"/>
      <c r="AG164" s="275"/>
      <c r="AH164" s="275"/>
      <c r="AI164" s="275"/>
      <c r="AJ164" s="275"/>
      <c r="AK164" s="275"/>
      <c r="AL164" s="275"/>
      <c r="AM164" s="275"/>
      <c r="AN164" s="275"/>
      <c r="AO164" s="275"/>
      <c r="AP164" s="275"/>
      <c r="AQ164" s="263"/>
      <c r="AR164" s="277"/>
      <c r="AS164" s="264"/>
      <c r="AT164" s="262"/>
    </row>
    <row r="165" ht="14.25" customHeight="1" spans="2:46">
      <c r="B165" s="262"/>
      <c r="C165" s="263"/>
      <c r="D165" s="264"/>
      <c r="E165" s="264"/>
      <c r="F165" s="262"/>
      <c r="G165" s="262"/>
      <c r="H165" s="262"/>
      <c r="I165" s="267"/>
      <c r="J165" s="262"/>
      <c r="K165" s="264"/>
      <c r="L165" s="264"/>
      <c r="M165" s="264"/>
      <c r="N165" s="264"/>
      <c r="O165" s="269"/>
      <c r="P165" s="264"/>
      <c r="Q165" s="263"/>
      <c r="R165" s="264"/>
      <c r="S165" s="267"/>
      <c r="T165" s="267"/>
      <c r="U165" s="267"/>
      <c r="V165" s="262"/>
      <c r="W165" s="262"/>
      <c r="AD165" s="274"/>
      <c r="AE165" s="275"/>
      <c r="AF165" s="275"/>
      <c r="AG165" s="275"/>
      <c r="AH165" s="275"/>
      <c r="AI165" s="275"/>
      <c r="AJ165" s="275"/>
      <c r="AK165" s="275"/>
      <c r="AL165" s="275"/>
      <c r="AM165" s="275"/>
      <c r="AN165" s="275"/>
      <c r="AO165" s="275"/>
      <c r="AP165" s="275"/>
      <c r="AQ165" s="263"/>
      <c r="AR165" s="277"/>
      <c r="AS165" s="264"/>
      <c r="AT165" s="262"/>
    </row>
    <row r="166" ht="14.25" customHeight="1" spans="2:46">
      <c r="B166" s="262"/>
      <c r="C166" s="263"/>
      <c r="D166" s="264"/>
      <c r="E166" s="264"/>
      <c r="F166" s="262"/>
      <c r="G166" s="262"/>
      <c r="H166" s="262"/>
      <c r="I166" s="267"/>
      <c r="J166" s="262"/>
      <c r="K166" s="264"/>
      <c r="L166" s="264"/>
      <c r="M166" s="264"/>
      <c r="N166" s="264"/>
      <c r="O166" s="269"/>
      <c r="P166" s="264"/>
      <c r="Q166" s="263"/>
      <c r="R166" s="264"/>
      <c r="S166" s="267"/>
      <c r="T166" s="267"/>
      <c r="U166" s="267"/>
      <c r="V166" s="262"/>
      <c r="W166" s="262"/>
      <c r="AD166" s="274"/>
      <c r="AE166" s="275"/>
      <c r="AF166" s="275"/>
      <c r="AG166" s="275"/>
      <c r="AH166" s="275"/>
      <c r="AI166" s="275"/>
      <c r="AJ166" s="275"/>
      <c r="AK166" s="275"/>
      <c r="AL166" s="275"/>
      <c r="AM166" s="275"/>
      <c r="AN166" s="275"/>
      <c r="AO166" s="275"/>
      <c r="AP166" s="275"/>
      <c r="AQ166" s="263"/>
      <c r="AR166" s="277"/>
      <c r="AS166" s="264"/>
      <c r="AT166" s="262"/>
    </row>
    <row r="167" ht="14.25" customHeight="1" spans="2:46">
      <c r="B167" s="262"/>
      <c r="C167" s="263"/>
      <c r="D167" s="264"/>
      <c r="E167" s="264"/>
      <c r="F167" s="262"/>
      <c r="G167" s="262"/>
      <c r="H167" s="262"/>
      <c r="I167" s="267"/>
      <c r="J167" s="262"/>
      <c r="K167" s="264"/>
      <c r="L167" s="264"/>
      <c r="M167" s="264"/>
      <c r="N167" s="264"/>
      <c r="O167" s="269"/>
      <c r="P167" s="264"/>
      <c r="Q167" s="263"/>
      <c r="R167" s="264"/>
      <c r="S167" s="267"/>
      <c r="T167" s="267"/>
      <c r="U167" s="267"/>
      <c r="V167" s="262"/>
      <c r="W167" s="262"/>
      <c r="AD167" s="274"/>
      <c r="AE167" s="275"/>
      <c r="AF167" s="275"/>
      <c r="AG167" s="275"/>
      <c r="AH167" s="275"/>
      <c r="AI167" s="275"/>
      <c r="AJ167" s="275"/>
      <c r="AK167" s="275"/>
      <c r="AL167" s="275"/>
      <c r="AM167" s="275"/>
      <c r="AN167" s="275"/>
      <c r="AO167" s="275"/>
      <c r="AP167" s="275"/>
      <c r="AQ167" s="263"/>
      <c r="AR167" s="277"/>
      <c r="AS167" s="264"/>
      <c r="AT167" s="262"/>
    </row>
    <row r="168" ht="14.25" customHeight="1" spans="2:46">
      <c r="B168" s="262"/>
      <c r="C168" s="263"/>
      <c r="D168" s="264"/>
      <c r="E168" s="264"/>
      <c r="F168" s="262"/>
      <c r="G168" s="262"/>
      <c r="H168" s="262"/>
      <c r="I168" s="267"/>
      <c r="J168" s="262"/>
      <c r="K168" s="264"/>
      <c r="L168" s="264"/>
      <c r="M168" s="264"/>
      <c r="N168" s="264"/>
      <c r="O168" s="269"/>
      <c r="P168" s="264"/>
      <c r="Q168" s="263"/>
      <c r="R168" s="264"/>
      <c r="S168" s="267"/>
      <c r="T168" s="267"/>
      <c r="U168" s="267"/>
      <c r="V168" s="262"/>
      <c r="W168" s="262"/>
      <c r="AD168" s="274"/>
      <c r="AE168" s="275"/>
      <c r="AF168" s="275"/>
      <c r="AG168" s="275"/>
      <c r="AH168" s="275"/>
      <c r="AI168" s="275"/>
      <c r="AJ168" s="275"/>
      <c r="AK168" s="275"/>
      <c r="AL168" s="275"/>
      <c r="AM168" s="275"/>
      <c r="AN168" s="275"/>
      <c r="AO168" s="275"/>
      <c r="AP168" s="275"/>
      <c r="AQ168" s="263"/>
      <c r="AR168" s="277"/>
      <c r="AS168" s="264"/>
      <c r="AT168" s="262"/>
    </row>
    <row r="169" ht="14.25" customHeight="1" spans="2:46">
      <c r="B169" s="262"/>
      <c r="C169" s="263"/>
      <c r="D169" s="264"/>
      <c r="E169" s="264"/>
      <c r="F169" s="262"/>
      <c r="G169" s="262"/>
      <c r="H169" s="262"/>
      <c r="I169" s="267"/>
      <c r="J169" s="262"/>
      <c r="K169" s="264"/>
      <c r="L169" s="264"/>
      <c r="M169" s="264"/>
      <c r="N169" s="264"/>
      <c r="O169" s="269"/>
      <c r="P169" s="264"/>
      <c r="Q169" s="263"/>
      <c r="R169" s="264"/>
      <c r="S169" s="267"/>
      <c r="T169" s="267"/>
      <c r="U169" s="267"/>
      <c r="V169" s="262"/>
      <c r="W169" s="262"/>
      <c r="AD169" s="274"/>
      <c r="AE169" s="275"/>
      <c r="AF169" s="275"/>
      <c r="AG169" s="275"/>
      <c r="AH169" s="275"/>
      <c r="AI169" s="275"/>
      <c r="AJ169" s="275"/>
      <c r="AK169" s="275"/>
      <c r="AL169" s="275"/>
      <c r="AM169" s="275"/>
      <c r="AN169" s="275"/>
      <c r="AO169" s="275"/>
      <c r="AP169" s="275"/>
      <c r="AQ169" s="263"/>
      <c r="AR169" s="277"/>
      <c r="AS169" s="264"/>
      <c r="AT169" s="262"/>
    </row>
    <row r="170" ht="14.25" customHeight="1" spans="2:46">
      <c r="B170" s="262"/>
      <c r="C170" s="263"/>
      <c r="D170" s="264"/>
      <c r="E170" s="264"/>
      <c r="F170" s="262"/>
      <c r="G170" s="262"/>
      <c r="H170" s="262"/>
      <c r="I170" s="267"/>
      <c r="J170" s="262"/>
      <c r="K170" s="264"/>
      <c r="L170" s="264"/>
      <c r="M170" s="264"/>
      <c r="N170" s="264"/>
      <c r="O170" s="269"/>
      <c r="P170" s="264"/>
      <c r="Q170" s="263"/>
      <c r="R170" s="264"/>
      <c r="S170" s="267"/>
      <c r="T170" s="267"/>
      <c r="U170" s="267"/>
      <c r="V170" s="262"/>
      <c r="W170" s="262"/>
      <c r="AD170" s="274"/>
      <c r="AE170" s="275"/>
      <c r="AF170" s="275"/>
      <c r="AG170" s="275"/>
      <c r="AH170" s="275"/>
      <c r="AI170" s="275"/>
      <c r="AJ170" s="275"/>
      <c r="AK170" s="275"/>
      <c r="AL170" s="275"/>
      <c r="AM170" s="275"/>
      <c r="AN170" s="275"/>
      <c r="AO170" s="275"/>
      <c r="AP170" s="275"/>
      <c r="AQ170" s="263"/>
      <c r="AR170" s="277"/>
      <c r="AS170" s="264"/>
      <c r="AT170" s="262"/>
    </row>
    <row r="171" ht="14.25" customHeight="1" spans="2:46">
      <c r="B171" s="262"/>
      <c r="C171" s="263"/>
      <c r="D171" s="264"/>
      <c r="E171" s="264"/>
      <c r="F171" s="262"/>
      <c r="G171" s="262"/>
      <c r="H171" s="262"/>
      <c r="I171" s="267"/>
      <c r="J171" s="262"/>
      <c r="K171" s="264"/>
      <c r="L171" s="264"/>
      <c r="M171" s="264"/>
      <c r="N171" s="264"/>
      <c r="O171" s="269"/>
      <c r="P171" s="264"/>
      <c r="Q171" s="263"/>
      <c r="R171" s="264"/>
      <c r="S171" s="267"/>
      <c r="T171" s="267"/>
      <c r="U171" s="267"/>
      <c r="V171" s="262"/>
      <c r="W171" s="262"/>
      <c r="AD171" s="274"/>
      <c r="AE171" s="275"/>
      <c r="AF171" s="275"/>
      <c r="AG171" s="275"/>
      <c r="AH171" s="275"/>
      <c r="AI171" s="275"/>
      <c r="AJ171" s="275"/>
      <c r="AK171" s="275"/>
      <c r="AL171" s="275"/>
      <c r="AM171" s="275"/>
      <c r="AN171" s="275"/>
      <c r="AO171" s="275"/>
      <c r="AP171" s="275"/>
      <c r="AQ171" s="263"/>
      <c r="AR171" s="277"/>
      <c r="AS171" s="264"/>
      <c r="AT171" s="262"/>
    </row>
    <row r="172" ht="14.25" customHeight="1" spans="2:46">
      <c r="B172" s="262"/>
      <c r="C172" s="263"/>
      <c r="D172" s="264"/>
      <c r="E172" s="264"/>
      <c r="F172" s="262"/>
      <c r="G172" s="262"/>
      <c r="H172" s="262"/>
      <c r="I172" s="267"/>
      <c r="J172" s="262"/>
      <c r="K172" s="264"/>
      <c r="L172" s="264"/>
      <c r="M172" s="264"/>
      <c r="N172" s="264"/>
      <c r="O172" s="269"/>
      <c r="P172" s="264"/>
      <c r="Q172" s="263"/>
      <c r="R172" s="264"/>
      <c r="S172" s="267"/>
      <c r="T172" s="267"/>
      <c r="U172" s="267"/>
      <c r="V172" s="262"/>
      <c r="W172" s="262"/>
      <c r="AD172" s="274"/>
      <c r="AE172" s="275"/>
      <c r="AF172" s="275"/>
      <c r="AG172" s="275"/>
      <c r="AH172" s="275"/>
      <c r="AI172" s="275"/>
      <c r="AJ172" s="275"/>
      <c r="AK172" s="275"/>
      <c r="AL172" s="275"/>
      <c r="AM172" s="275"/>
      <c r="AN172" s="275"/>
      <c r="AO172" s="275"/>
      <c r="AP172" s="275"/>
      <c r="AQ172" s="263"/>
      <c r="AR172" s="277"/>
      <c r="AS172" s="264"/>
      <c r="AT172" s="262"/>
    </row>
    <row r="173" ht="14.25" customHeight="1" spans="2:46">
      <c r="B173" s="262"/>
      <c r="C173" s="263"/>
      <c r="D173" s="264"/>
      <c r="E173" s="264"/>
      <c r="F173" s="262"/>
      <c r="G173" s="262"/>
      <c r="H173" s="262"/>
      <c r="I173" s="267"/>
      <c r="J173" s="262"/>
      <c r="K173" s="264"/>
      <c r="L173" s="264"/>
      <c r="M173" s="264"/>
      <c r="N173" s="264"/>
      <c r="O173" s="269"/>
      <c r="P173" s="264"/>
      <c r="Q173" s="263"/>
      <c r="R173" s="264"/>
      <c r="S173" s="267"/>
      <c r="T173" s="267"/>
      <c r="U173" s="267"/>
      <c r="V173" s="262"/>
      <c r="W173" s="262"/>
      <c r="AD173" s="274"/>
      <c r="AE173" s="275"/>
      <c r="AF173" s="275"/>
      <c r="AG173" s="275"/>
      <c r="AH173" s="275"/>
      <c r="AI173" s="275"/>
      <c r="AJ173" s="275"/>
      <c r="AK173" s="275"/>
      <c r="AL173" s="275"/>
      <c r="AM173" s="275"/>
      <c r="AN173" s="275"/>
      <c r="AO173" s="275"/>
      <c r="AP173" s="275"/>
      <c r="AQ173" s="263"/>
      <c r="AR173" s="277"/>
      <c r="AS173" s="264"/>
      <c r="AT173" s="262"/>
    </row>
    <row r="174" ht="14.25" customHeight="1" spans="2:46">
      <c r="B174" s="262"/>
      <c r="C174" s="263"/>
      <c r="D174" s="264"/>
      <c r="E174" s="264"/>
      <c r="F174" s="262"/>
      <c r="G174" s="262"/>
      <c r="H174" s="262"/>
      <c r="I174" s="267"/>
      <c r="J174" s="262"/>
      <c r="K174" s="264"/>
      <c r="L174" s="264"/>
      <c r="M174" s="264"/>
      <c r="N174" s="264"/>
      <c r="O174" s="269"/>
      <c r="P174" s="264"/>
      <c r="Q174" s="263"/>
      <c r="R174" s="264"/>
      <c r="S174" s="267"/>
      <c r="T174" s="267"/>
      <c r="U174" s="267"/>
      <c r="V174" s="262"/>
      <c r="W174" s="262"/>
      <c r="AD174" s="274"/>
      <c r="AE174" s="275"/>
      <c r="AF174" s="275"/>
      <c r="AG174" s="275"/>
      <c r="AH174" s="275"/>
      <c r="AI174" s="275"/>
      <c r="AJ174" s="275"/>
      <c r="AK174" s="275"/>
      <c r="AL174" s="275"/>
      <c r="AM174" s="275"/>
      <c r="AN174" s="275"/>
      <c r="AO174" s="275"/>
      <c r="AP174" s="275"/>
      <c r="AQ174" s="263"/>
      <c r="AR174" s="277"/>
      <c r="AS174" s="264"/>
      <c r="AT174" s="262"/>
    </row>
    <row r="175" ht="14.25" customHeight="1" spans="2:46">
      <c r="B175" s="262"/>
      <c r="C175" s="263"/>
      <c r="D175" s="264"/>
      <c r="E175" s="264"/>
      <c r="F175" s="262"/>
      <c r="G175" s="262"/>
      <c r="H175" s="262"/>
      <c r="I175" s="267"/>
      <c r="J175" s="262"/>
      <c r="K175" s="264"/>
      <c r="L175" s="264"/>
      <c r="M175" s="264"/>
      <c r="N175" s="264"/>
      <c r="O175" s="269"/>
      <c r="P175" s="264"/>
      <c r="Q175" s="263"/>
      <c r="R175" s="264"/>
      <c r="S175" s="267"/>
      <c r="T175" s="267"/>
      <c r="U175" s="267"/>
      <c r="V175" s="262"/>
      <c r="W175" s="262"/>
      <c r="AD175" s="274"/>
      <c r="AE175" s="275"/>
      <c r="AF175" s="275"/>
      <c r="AG175" s="275"/>
      <c r="AH175" s="275"/>
      <c r="AI175" s="275"/>
      <c r="AJ175" s="275"/>
      <c r="AK175" s="275"/>
      <c r="AL175" s="275"/>
      <c r="AM175" s="275"/>
      <c r="AN175" s="275"/>
      <c r="AO175" s="275"/>
      <c r="AP175" s="275"/>
      <c r="AQ175" s="263"/>
      <c r="AR175" s="277"/>
      <c r="AS175" s="264"/>
      <c r="AT175" s="262"/>
    </row>
    <row r="176" ht="14.25" customHeight="1" spans="2:46">
      <c r="B176" s="262"/>
      <c r="C176" s="263"/>
      <c r="D176" s="264"/>
      <c r="E176" s="264"/>
      <c r="F176" s="262"/>
      <c r="G176" s="262"/>
      <c r="H176" s="262"/>
      <c r="I176" s="267"/>
      <c r="J176" s="262"/>
      <c r="K176" s="264"/>
      <c r="L176" s="264"/>
      <c r="M176" s="264"/>
      <c r="N176" s="264"/>
      <c r="O176" s="269"/>
      <c r="P176" s="264"/>
      <c r="Q176" s="263"/>
      <c r="R176" s="264"/>
      <c r="S176" s="267"/>
      <c r="T176" s="267"/>
      <c r="U176" s="267"/>
      <c r="V176" s="262"/>
      <c r="W176" s="262"/>
      <c r="AD176" s="274"/>
      <c r="AE176" s="275"/>
      <c r="AF176" s="275"/>
      <c r="AG176" s="275"/>
      <c r="AH176" s="275"/>
      <c r="AI176" s="275"/>
      <c r="AJ176" s="275"/>
      <c r="AK176" s="275"/>
      <c r="AL176" s="275"/>
      <c r="AM176" s="275"/>
      <c r="AN176" s="275"/>
      <c r="AO176" s="275"/>
      <c r="AP176" s="275"/>
      <c r="AQ176" s="263"/>
      <c r="AR176" s="277"/>
      <c r="AS176" s="264"/>
      <c r="AT176" s="262"/>
    </row>
    <row r="177" ht="14.25" customHeight="1" spans="2:46">
      <c r="B177" s="262"/>
      <c r="C177" s="263"/>
      <c r="D177" s="264"/>
      <c r="E177" s="264"/>
      <c r="F177" s="262"/>
      <c r="G177" s="262"/>
      <c r="H177" s="262"/>
      <c r="I177" s="267"/>
      <c r="J177" s="262"/>
      <c r="K177" s="264"/>
      <c r="L177" s="264"/>
      <c r="M177" s="264"/>
      <c r="N177" s="264"/>
      <c r="O177" s="269"/>
      <c r="P177" s="264"/>
      <c r="Q177" s="263"/>
      <c r="R177" s="264"/>
      <c r="S177" s="267"/>
      <c r="T177" s="267"/>
      <c r="U177" s="267"/>
      <c r="V177" s="262"/>
      <c r="W177" s="262"/>
      <c r="AD177" s="274"/>
      <c r="AE177" s="275"/>
      <c r="AF177" s="275"/>
      <c r="AG177" s="275"/>
      <c r="AH177" s="275"/>
      <c r="AI177" s="275"/>
      <c r="AJ177" s="275"/>
      <c r="AK177" s="275"/>
      <c r="AL177" s="275"/>
      <c r="AM177" s="275"/>
      <c r="AN177" s="275"/>
      <c r="AO177" s="275"/>
      <c r="AP177" s="275"/>
      <c r="AQ177" s="263"/>
      <c r="AR177" s="277"/>
      <c r="AS177" s="264"/>
      <c r="AT177" s="262"/>
    </row>
    <row r="178" ht="14.25" customHeight="1" spans="2:46">
      <c r="B178" s="262"/>
      <c r="C178" s="263"/>
      <c r="D178" s="264"/>
      <c r="E178" s="264"/>
      <c r="F178" s="262"/>
      <c r="G178" s="262"/>
      <c r="H178" s="262"/>
      <c r="I178" s="267"/>
      <c r="J178" s="262"/>
      <c r="K178" s="264"/>
      <c r="L178" s="264"/>
      <c r="M178" s="264"/>
      <c r="N178" s="264"/>
      <c r="O178" s="269"/>
      <c r="P178" s="264"/>
      <c r="Q178" s="263"/>
      <c r="R178" s="264"/>
      <c r="S178" s="267"/>
      <c r="T178" s="267"/>
      <c r="U178" s="267"/>
      <c r="V178" s="262"/>
      <c r="W178" s="262"/>
      <c r="AD178" s="274"/>
      <c r="AE178" s="275"/>
      <c r="AF178" s="275"/>
      <c r="AG178" s="275"/>
      <c r="AH178" s="275"/>
      <c r="AI178" s="275"/>
      <c r="AJ178" s="275"/>
      <c r="AK178" s="275"/>
      <c r="AL178" s="275"/>
      <c r="AM178" s="275"/>
      <c r="AN178" s="275"/>
      <c r="AO178" s="275"/>
      <c r="AP178" s="275"/>
      <c r="AQ178" s="263"/>
      <c r="AR178" s="277"/>
      <c r="AS178" s="264"/>
      <c r="AT178" s="262"/>
    </row>
    <row r="179" ht="14.25" customHeight="1" spans="2:46">
      <c r="B179" s="262"/>
      <c r="C179" s="263"/>
      <c r="D179" s="264"/>
      <c r="E179" s="264"/>
      <c r="F179" s="262"/>
      <c r="G179" s="262"/>
      <c r="H179" s="262"/>
      <c r="I179" s="267"/>
      <c r="J179" s="262"/>
      <c r="K179" s="264"/>
      <c r="L179" s="264"/>
      <c r="M179" s="264"/>
      <c r="N179" s="264"/>
      <c r="O179" s="269"/>
      <c r="P179" s="264"/>
      <c r="Q179" s="263"/>
      <c r="R179" s="264"/>
      <c r="S179" s="267"/>
      <c r="T179" s="267"/>
      <c r="U179" s="267"/>
      <c r="V179" s="262"/>
      <c r="W179" s="262"/>
      <c r="AD179" s="274"/>
      <c r="AE179" s="275"/>
      <c r="AF179" s="275"/>
      <c r="AG179" s="275"/>
      <c r="AH179" s="275"/>
      <c r="AI179" s="275"/>
      <c r="AJ179" s="275"/>
      <c r="AK179" s="275"/>
      <c r="AL179" s="275"/>
      <c r="AM179" s="275"/>
      <c r="AN179" s="275"/>
      <c r="AO179" s="275"/>
      <c r="AP179" s="275"/>
      <c r="AQ179" s="263"/>
      <c r="AR179" s="277"/>
      <c r="AS179" s="264"/>
      <c r="AT179" s="262"/>
    </row>
    <row r="180" ht="14.25" customHeight="1" spans="2:46">
      <c r="B180" s="262"/>
      <c r="C180" s="263"/>
      <c r="D180" s="264"/>
      <c r="E180" s="264"/>
      <c r="F180" s="262"/>
      <c r="G180" s="262"/>
      <c r="H180" s="262"/>
      <c r="I180" s="267"/>
      <c r="J180" s="262"/>
      <c r="K180" s="264"/>
      <c r="L180" s="264"/>
      <c r="M180" s="264"/>
      <c r="N180" s="264"/>
      <c r="O180" s="269"/>
      <c r="P180" s="264"/>
      <c r="Q180" s="263"/>
      <c r="R180" s="264"/>
      <c r="S180" s="267"/>
      <c r="T180" s="267"/>
      <c r="U180" s="267"/>
      <c r="V180" s="262"/>
      <c r="W180" s="262"/>
      <c r="AD180" s="274"/>
      <c r="AE180" s="275"/>
      <c r="AF180" s="275"/>
      <c r="AG180" s="275"/>
      <c r="AH180" s="275"/>
      <c r="AI180" s="275"/>
      <c r="AJ180" s="275"/>
      <c r="AK180" s="275"/>
      <c r="AL180" s="275"/>
      <c r="AM180" s="275"/>
      <c r="AN180" s="275"/>
      <c r="AO180" s="275"/>
      <c r="AP180" s="275"/>
      <c r="AQ180" s="263"/>
      <c r="AR180" s="277"/>
      <c r="AS180" s="264"/>
      <c r="AT180" s="262"/>
    </row>
    <row r="181" ht="14.25" customHeight="1" spans="2:46">
      <c r="B181" s="262"/>
      <c r="C181" s="263"/>
      <c r="D181" s="264"/>
      <c r="E181" s="264"/>
      <c r="F181" s="262"/>
      <c r="G181" s="262"/>
      <c r="H181" s="262"/>
      <c r="I181" s="267"/>
      <c r="J181" s="262"/>
      <c r="K181" s="264"/>
      <c r="L181" s="264"/>
      <c r="M181" s="264"/>
      <c r="N181" s="264"/>
      <c r="O181" s="269"/>
      <c r="P181" s="264"/>
      <c r="Q181" s="263"/>
      <c r="R181" s="264"/>
      <c r="S181" s="267"/>
      <c r="T181" s="267"/>
      <c r="U181" s="267"/>
      <c r="V181" s="262"/>
      <c r="W181" s="262"/>
      <c r="AD181" s="274"/>
      <c r="AE181" s="275"/>
      <c r="AF181" s="275"/>
      <c r="AG181" s="275"/>
      <c r="AH181" s="275"/>
      <c r="AI181" s="275"/>
      <c r="AJ181" s="275"/>
      <c r="AK181" s="275"/>
      <c r="AL181" s="275"/>
      <c r="AM181" s="275"/>
      <c r="AN181" s="275"/>
      <c r="AO181" s="275"/>
      <c r="AP181" s="275"/>
      <c r="AQ181" s="263"/>
      <c r="AR181" s="277"/>
      <c r="AS181" s="264"/>
      <c r="AT181" s="262"/>
    </row>
    <row r="182" ht="14.25" customHeight="1" spans="2:46">
      <c r="B182" s="262"/>
      <c r="C182" s="263"/>
      <c r="D182" s="264"/>
      <c r="E182" s="264"/>
      <c r="F182" s="262"/>
      <c r="G182" s="262"/>
      <c r="H182" s="262"/>
      <c r="I182" s="267"/>
      <c r="J182" s="262"/>
      <c r="K182" s="264"/>
      <c r="L182" s="264"/>
      <c r="M182" s="264"/>
      <c r="N182" s="264"/>
      <c r="O182" s="269"/>
      <c r="P182" s="264"/>
      <c r="Q182" s="263"/>
      <c r="R182" s="264"/>
      <c r="S182" s="267"/>
      <c r="T182" s="267"/>
      <c r="U182" s="267"/>
      <c r="V182" s="262"/>
      <c r="W182" s="262"/>
      <c r="AD182" s="274"/>
      <c r="AE182" s="275"/>
      <c r="AF182" s="275"/>
      <c r="AG182" s="275"/>
      <c r="AH182" s="275"/>
      <c r="AI182" s="275"/>
      <c r="AJ182" s="275"/>
      <c r="AK182" s="275"/>
      <c r="AL182" s="275"/>
      <c r="AM182" s="275"/>
      <c r="AN182" s="275"/>
      <c r="AO182" s="275"/>
      <c r="AP182" s="275"/>
      <c r="AQ182" s="263"/>
      <c r="AR182" s="277"/>
      <c r="AS182" s="264"/>
      <c r="AT182" s="262"/>
    </row>
    <row r="183" ht="14.25" customHeight="1" spans="2:46">
      <c r="B183" s="262"/>
      <c r="C183" s="263"/>
      <c r="D183" s="264"/>
      <c r="E183" s="264"/>
      <c r="F183" s="262"/>
      <c r="G183" s="262"/>
      <c r="H183" s="262"/>
      <c r="I183" s="267"/>
      <c r="J183" s="262"/>
      <c r="K183" s="264"/>
      <c r="L183" s="264"/>
      <c r="M183" s="264"/>
      <c r="N183" s="264"/>
      <c r="O183" s="269"/>
      <c r="P183" s="264"/>
      <c r="Q183" s="263"/>
      <c r="R183" s="264"/>
      <c r="S183" s="267"/>
      <c r="T183" s="267"/>
      <c r="U183" s="267"/>
      <c r="V183" s="262"/>
      <c r="W183" s="262"/>
      <c r="AD183" s="274"/>
      <c r="AE183" s="275"/>
      <c r="AF183" s="275"/>
      <c r="AG183" s="275"/>
      <c r="AH183" s="275"/>
      <c r="AI183" s="275"/>
      <c r="AJ183" s="275"/>
      <c r="AK183" s="275"/>
      <c r="AL183" s="275"/>
      <c r="AM183" s="275"/>
      <c r="AN183" s="275"/>
      <c r="AO183" s="275"/>
      <c r="AP183" s="275"/>
      <c r="AQ183" s="263"/>
      <c r="AR183" s="277"/>
      <c r="AS183" s="264"/>
      <c r="AT183" s="262"/>
    </row>
    <row r="184" ht="14.25" customHeight="1" spans="2:46">
      <c r="B184" s="262"/>
      <c r="C184" s="263"/>
      <c r="D184" s="264"/>
      <c r="E184" s="264"/>
      <c r="F184" s="262"/>
      <c r="G184" s="262"/>
      <c r="H184" s="262"/>
      <c r="I184" s="267"/>
      <c r="J184" s="262"/>
      <c r="K184" s="264"/>
      <c r="L184" s="264"/>
      <c r="M184" s="264"/>
      <c r="N184" s="264"/>
      <c r="O184" s="269"/>
      <c r="P184" s="264"/>
      <c r="Q184" s="263"/>
      <c r="R184" s="264"/>
      <c r="S184" s="267"/>
      <c r="T184" s="267"/>
      <c r="U184" s="267"/>
      <c r="V184" s="262"/>
      <c r="W184" s="262"/>
      <c r="AD184" s="274"/>
      <c r="AE184" s="275"/>
      <c r="AF184" s="275"/>
      <c r="AG184" s="275"/>
      <c r="AH184" s="275"/>
      <c r="AI184" s="275"/>
      <c r="AJ184" s="275"/>
      <c r="AK184" s="275"/>
      <c r="AL184" s="275"/>
      <c r="AM184" s="275"/>
      <c r="AN184" s="275"/>
      <c r="AO184" s="275"/>
      <c r="AP184" s="275"/>
      <c r="AQ184" s="263"/>
      <c r="AR184" s="277"/>
      <c r="AS184" s="264"/>
      <c r="AT184" s="262"/>
    </row>
    <row r="185" ht="14.25" customHeight="1" spans="2:46">
      <c r="B185" s="262"/>
      <c r="C185" s="263"/>
      <c r="D185" s="264"/>
      <c r="E185" s="264"/>
      <c r="F185" s="262"/>
      <c r="G185" s="262"/>
      <c r="H185" s="262"/>
      <c r="I185" s="267"/>
      <c r="J185" s="262"/>
      <c r="K185" s="264"/>
      <c r="L185" s="264"/>
      <c r="M185" s="264"/>
      <c r="N185" s="264"/>
      <c r="O185" s="269"/>
      <c r="P185" s="264"/>
      <c r="Q185" s="263"/>
      <c r="R185" s="264"/>
      <c r="S185" s="267"/>
      <c r="T185" s="267"/>
      <c r="U185" s="267"/>
      <c r="V185" s="262"/>
      <c r="W185" s="262"/>
      <c r="AD185" s="274"/>
      <c r="AE185" s="275"/>
      <c r="AF185" s="275"/>
      <c r="AG185" s="275"/>
      <c r="AH185" s="275"/>
      <c r="AI185" s="275"/>
      <c r="AJ185" s="275"/>
      <c r="AK185" s="275"/>
      <c r="AL185" s="275"/>
      <c r="AM185" s="275"/>
      <c r="AN185" s="275"/>
      <c r="AO185" s="275"/>
      <c r="AP185" s="275"/>
      <c r="AQ185" s="263"/>
      <c r="AR185" s="277"/>
      <c r="AS185" s="264"/>
      <c r="AT185" s="262"/>
    </row>
    <row r="186" ht="14.25" customHeight="1" spans="2:46">
      <c r="B186" s="262"/>
      <c r="C186" s="263"/>
      <c r="D186" s="264"/>
      <c r="E186" s="264"/>
      <c r="F186" s="262"/>
      <c r="G186" s="262"/>
      <c r="H186" s="262"/>
      <c r="I186" s="267"/>
      <c r="J186" s="262"/>
      <c r="K186" s="264"/>
      <c r="L186" s="264"/>
      <c r="M186" s="264"/>
      <c r="N186" s="264"/>
      <c r="O186" s="269"/>
      <c r="P186" s="264"/>
      <c r="Q186" s="263"/>
      <c r="R186" s="264"/>
      <c r="S186" s="267"/>
      <c r="T186" s="267"/>
      <c r="U186" s="267"/>
      <c r="V186" s="262"/>
      <c r="W186" s="262"/>
      <c r="AD186" s="274"/>
      <c r="AE186" s="275"/>
      <c r="AF186" s="275"/>
      <c r="AG186" s="275"/>
      <c r="AH186" s="275"/>
      <c r="AI186" s="275"/>
      <c r="AJ186" s="275"/>
      <c r="AK186" s="275"/>
      <c r="AL186" s="275"/>
      <c r="AM186" s="275"/>
      <c r="AN186" s="275"/>
      <c r="AO186" s="275"/>
      <c r="AP186" s="275"/>
      <c r="AQ186" s="263"/>
      <c r="AR186" s="277"/>
      <c r="AS186" s="264"/>
      <c r="AT186" s="262"/>
    </row>
    <row r="187" ht="14.25" customHeight="1" spans="2:46">
      <c r="B187" s="262"/>
      <c r="C187" s="263"/>
      <c r="D187" s="264"/>
      <c r="E187" s="264"/>
      <c r="F187" s="262"/>
      <c r="G187" s="262"/>
      <c r="H187" s="262"/>
      <c r="I187" s="267"/>
      <c r="J187" s="262"/>
      <c r="K187" s="264"/>
      <c r="L187" s="264"/>
      <c r="M187" s="264"/>
      <c r="N187" s="264"/>
      <c r="O187" s="269"/>
      <c r="P187" s="264"/>
      <c r="Q187" s="263"/>
      <c r="R187" s="264"/>
      <c r="S187" s="267"/>
      <c r="T187" s="267"/>
      <c r="U187" s="267"/>
      <c r="V187" s="262"/>
      <c r="W187" s="262"/>
      <c r="AD187" s="274"/>
      <c r="AE187" s="275"/>
      <c r="AF187" s="275"/>
      <c r="AG187" s="275"/>
      <c r="AH187" s="275"/>
      <c r="AI187" s="275"/>
      <c r="AJ187" s="275"/>
      <c r="AK187" s="275"/>
      <c r="AL187" s="275"/>
      <c r="AM187" s="275"/>
      <c r="AN187" s="275"/>
      <c r="AO187" s="275"/>
      <c r="AP187" s="275"/>
      <c r="AQ187" s="263"/>
      <c r="AR187" s="277"/>
      <c r="AS187" s="264"/>
      <c r="AT187" s="262"/>
    </row>
    <row r="188" ht="14.25" customHeight="1" spans="2:46">
      <c r="B188" s="262"/>
      <c r="C188" s="263"/>
      <c r="D188" s="264"/>
      <c r="E188" s="264"/>
      <c r="F188" s="262"/>
      <c r="G188" s="262"/>
      <c r="H188" s="262"/>
      <c r="I188" s="267"/>
      <c r="J188" s="262"/>
      <c r="K188" s="264"/>
      <c r="L188" s="264"/>
      <c r="M188" s="264"/>
      <c r="N188" s="264"/>
      <c r="O188" s="269"/>
      <c r="P188" s="264"/>
      <c r="Q188" s="263"/>
      <c r="R188" s="264"/>
      <c r="S188" s="267"/>
      <c r="T188" s="267"/>
      <c r="U188" s="267"/>
      <c r="V188" s="262"/>
      <c r="W188" s="262"/>
      <c r="AD188" s="274"/>
      <c r="AE188" s="275"/>
      <c r="AF188" s="275"/>
      <c r="AG188" s="275"/>
      <c r="AH188" s="275"/>
      <c r="AI188" s="275"/>
      <c r="AJ188" s="275"/>
      <c r="AK188" s="275"/>
      <c r="AL188" s="275"/>
      <c r="AM188" s="275"/>
      <c r="AN188" s="275"/>
      <c r="AO188" s="275"/>
      <c r="AP188" s="275"/>
      <c r="AQ188" s="263"/>
      <c r="AR188" s="277"/>
      <c r="AS188" s="264"/>
      <c r="AT188" s="262"/>
    </row>
    <row r="189" ht="14.25" customHeight="1" spans="2:46">
      <c r="B189" s="262"/>
      <c r="C189" s="263"/>
      <c r="D189" s="264"/>
      <c r="E189" s="264"/>
      <c r="F189" s="262"/>
      <c r="G189" s="262"/>
      <c r="H189" s="262"/>
      <c r="I189" s="267"/>
      <c r="J189" s="262"/>
      <c r="K189" s="264"/>
      <c r="L189" s="264"/>
      <c r="M189" s="264"/>
      <c r="N189" s="264"/>
      <c r="O189" s="269"/>
      <c r="P189" s="264"/>
      <c r="Q189" s="263"/>
      <c r="R189" s="264"/>
      <c r="S189" s="267"/>
      <c r="T189" s="267"/>
      <c r="U189" s="267"/>
      <c r="V189" s="262"/>
      <c r="W189" s="262"/>
      <c r="AD189" s="274"/>
      <c r="AE189" s="275"/>
      <c r="AF189" s="275"/>
      <c r="AG189" s="275"/>
      <c r="AH189" s="275"/>
      <c r="AI189" s="275"/>
      <c r="AJ189" s="275"/>
      <c r="AK189" s="275"/>
      <c r="AL189" s="275"/>
      <c r="AM189" s="275"/>
      <c r="AN189" s="275"/>
      <c r="AO189" s="275"/>
      <c r="AP189" s="275"/>
      <c r="AQ189" s="263"/>
      <c r="AR189" s="277"/>
      <c r="AS189" s="264"/>
      <c r="AT189" s="262"/>
    </row>
    <row r="190" ht="14.25" customHeight="1" spans="2:46">
      <c r="B190" s="262"/>
      <c r="C190" s="263"/>
      <c r="D190" s="264"/>
      <c r="E190" s="264"/>
      <c r="F190" s="262"/>
      <c r="G190" s="262"/>
      <c r="H190" s="262"/>
      <c r="I190" s="267"/>
      <c r="J190" s="262"/>
      <c r="K190" s="264"/>
      <c r="L190" s="264"/>
      <c r="M190" s="264"/>
      <c r="N190" s="264"/>
      <c r="O190" s="269"/>
      <c r="P190" s="264"/>
      <c r="Q190" s="263"/>
      <c r="R190" s="264"/>
      <c r="S190" s="267"/>
      <c r="T190" s="267"/>
      <c r="U190" s="267"/>
      <c r="V190" s="262"/>
      <c r="W190" s="262"/>
      <c r="AD190" s="274"/>
      <c r="AE190" s="275"/>
      <c r="AF190" s="275"/>
      <c r="AG190" s="275"/>
      <c r="AH190" s="275"/>
      <c r="AI190" s="275"/>
      <c r="AJ190" s="275"/>
      <c r="AK190" s="275"/>
      <c r="AL190" s="275"/>
      <c r="AM190" s="275"/>
      <c r="AN190" s="275"/>
      <c r="AO190" s="275"/>
      <c r="AP190" s="275"/>
      <c r="AQ190" s="263"/>
      <c r="AR190" s="277"/>
      <c r="AS190" s="264"/>
      <c r="AT190" s="262"/>
    </row>
    <row r="191" ht="14.25" customHeight="1" spans="2:46">
      <c r="B191" s="262"/>
      <c r="C191" s="263"/>
      <c r="D191" s="264"/>
      <c r="E191" s="264"/>
      <c r="F191" s="262"/>
      <c r="G191" s="262"/>
      <c r="H191" s="262"/>
      <c r="I191" s="267"/>
      <c r="J191" s="262"/>
      <c r="K191" s="264"/>
      <c r="L191" s="264"/>
      <c r="M191" s="264"/>
      <c r="N191" s="264"/>
      <c r="O191" s="269"/>
      <c r="P191" s="264"/>
      <c r="Q191" s="263"/>
      <c r="R191" s="264"/>
      <c r="S191" s="267"/>
      <c r="T191" s="267"/>
      <c r="U191" s="267"/>
      <c r="V191" s="262"/>
      <c r="W191" s="262"/>
      <c r="AD191" s="274"/>
      <c r="AE191" s="275"/>
      <c r="AF191" s="275"/>
      <c r="AG191" s="275"/>
      <c r="AH191" s="275"/>
      <c r="AI191" s="275"/>
      <c r="AJ191" s="275"/>
      <c r="AK191" s="275"/>
      <c r="AL191" s="275"/>
      <c r="AM191" s="275"/>
      <c r="AN191" s="275"/>
      <c r="AO191" s="275"/>
      <c r="AP191" s="275"/>
      <c r="AQ191" s="263"/>
      <c r="AR191" s="277"/>
      <c r="AS191" s="264"/>
      <c r="AT191" s="262"/>
    </row>
    <row r="192" ht="14.25" customHeight="1" spans="2:46">
      <c r="B192" s="262"/>
      <c r="C192" s="263"/>
      <c r="D192" s="264"/>
      <c r="E192" s="264"/>
      <c r="F192" s="262"/>
      <c r="G192" s="262"/>
      <c r="H192" s="262"/>
      <c r="I192" s="267"/>
      <c r="J192" s="262"/>
      <c r="K192" s="264"/>
      <c r="L192" s="264"/>
      <c r="M192" s="264"/>
      <c r="N192" s="264"/>
      <c r="O192" s="269"/>
      <c r="P192" s="264"/>
      <c r="Q192" s="263"/>
      <c r="R192" s="264"/>
      <c r="S192" s="267"/>
      <c r="T192" s="267"/>
      <c r="U192" s="267"/>
      <c r="V192" s="262"/>
      <c r="W192" s="262"/>
      <c r="AD192" s="274"/>
      <c r="AE192" s="275"/>
      <c r="AF192" s="275"/>
      <c r="AG192" s="275"/>
      <c r="AH192" s="275"/>
      <c r="AI192" s="275"/>
      <c r="AJ192" s="275"/>
      <c r="AK192" s="275"/>
      <c r="AL192" s="275"/>
      <c r="AM192" s="275"/>
      <c r="AN192" s="275"/>
      <c r="AO192" s="275"/>
      <c r="AP192" s="275"/>
      <c r="AQ192" s="263"/>
      <c r="AR192" s="277"/>
      <c r="AS192" s="264"/>
      <c r="AT192" s="262"/>
    </row>
    <row r="193" ht="14.25" customHeight="1" spans="2:46">
      <c r="B193" s="262"/>
      <c r="C193" s="263"/>
      <c r="D193" s="264"/>
      <c r="E193" s="264"/>
      <c r="F193" s="262"/>
      <c r="G193" s="262"/>
      <c r="H193" s="262"/>
      <c r="I193" s="267"/>
      <c r="J193" s="262"/>
      <c r="K193" s="264"/>
      <c r="L193" s="264"/>
      <c r="M193" s="264"/>
      <c r="N193" s="264"/>
      <c r="O193" s="269"/>
      <c r="P193" s="264"/>
      <c r="Q193" s="263"/>
      <c r="R193" s="264"/>
      <c r="S193" s="267"/>
      <c r="T193" s="267"/>
      <c r="U193" s="267"/>
      <c r="V193" s="262"/>
      <c r="W193" s="262"/>
      <c r="AD193" s="274"/>
      <c r="AE193" s="275"/>
      <c r="AF193" s="275"/>
      <c r="AG193" s="275"/>
      <c r="AH193" s="275"/>
      <c r="AI193" s="275"/>
      <c r="AJ193" s="275"/>
      <c r="AK193" s="275"/>
      <c r="AL193" s="275"/>
      <c r="AM193" s="275"/>
      <c r="AN193" s="275"/>
      <c r="AO193" s="275"/>
      <c r="AP193" s="275"/>
      <c r="AQ193" s="263"/>
      <c r="AR193" s="277"/>
      <c r="AS193" s="264"/>
      <c r="AT193" s="262"/>
    </row>
    <row r="194" ht="14.25" customHeight="1" spans="2:46">
      <c r="B194" s="262"/>
      <c r="C194" s="263"/>
      <c r="D194" s="264"/>
      <c r="E194" s="264"/>
      <c r="F194" s="262"/>
      <c r="G194" s="262"/>
      <c r="H194" s="262"/>
      <c r="I194" s="267"/>
      <c r="J194" s="262"/>
      <c r="K194" s="264"/>
      <c r="L194" s="264"/>
      <c r="M194" s="264"/>
      <c r="N194" s="264"/>
      <c r="O194" s="269"/>
      <c r="P194" s="264"/>
      <c r="Q194" s="263"/>
      <c r="R194" s="264"/>
      <c r="S194" s="267"/>
      <c r="T194" s="267"/>
      <c r="U194" s="267"/>
      <c r="V194" s="262"/>
      <c r="W194" s="262"/>
      <c r="AD194" s="274"/>
      <c r="AE194" s="275"/>
      <c r="AF194" s="275"/>
      <c r="AG194" s="275"/>
      <c r="AH194" s="275"/>
      <c r="AI194" s="275"/>
      <c r="AJ194" s="275"/>
      <c r="AK194" s="275"/>
      <c r="AL194" s="275"/>
      <c r="AM194" s="275"/>
      <c r="AN194" s="275"/>
      <c r="AO194" s="275"/>
      <c r="AP194" s="275"/>
      <c r="AQ194" s="263"/>
      <c r="AR194" s="277"/>
      <c r="AS194" s="264"/>
      <c r="AT194" s="262"/>
    </row>
    <row r="195" ht="14.25" customHeight="1" spans="2:46">
      <c r="B195" s="262"/>
      <c r="C195" s="263"/>
      <c r="D195" s="264"/>
      <c r="E195" s="264"/>
      <c r="F195" s="262"/>
      <c r="G195" s="262"/>
      <c r="H195" s="262"/>
      <c r="I195" s="267"/>
      <c r="J195" s="262"/>
      <c r="K195" s="264"/>
      <c r="L195" s="264"/>
      <c r="M195" s="264"/>
      <c r="N195" s="264"/>
      <c r="O195" s="269"/>
      <c r="P195" s="264"/>
      <c r="Q195" s="263"/>
      <c r="R195" s="264"/>
      <c r="S195" s="267"/>
      <c r="T195" s="267"/>
      <c r="U195" s="267"/>
      <c r="V195" s="262"/>
      <c r="W195" s="262"/>
      <c r="AD195" s="274"/>
      <c r="AE195" s="275"/>
      <c r="AF195" s="275"/>
      <c r="AG195" s="275"/>
      <c r="AH195" s="275"/>
      <c r="AI195" s="275"/>
      <c r="AJ195" s="275"/>
      <c r="AK195" s="275"/>
      <c r="AL195" s="275"/>
      <c r="AM195" s="275"/>
      <c r="AN195" s="275"/>
      <c r="AO195" s="275"/>
      <c r="AP195" s="275"/>
      <c r="AQ195" s="263"/>
      <c r="AR195" s="277"/>
      <c r="AS195" s="264"/>
      <c r="AT195" s="262"/>
    </row>
    <row r="196" ht="14.25" customHeight="1" spans="2:46">
      <c r="B196" s="262"/>
      <c r="C196" s="263"/>
      <c r="D196" s="264"/>
      <c r="E196" s="264"/>
      <c r="F196" s="262"/>
      <c r="G196" s="262"/>
      <c r="H196" s="262"/>
      <c r="I196" s="267"/>
      <c r="J196" s="262"/>
      <c r="K196" s="264"/>
      <c r="L196" s="264"/>
      <c r="M196" s="264"/>
      <c r="N196" s="264"/>
      <c r="O196" s="269"/>
      <c r="P196" s="264"/>
      <c r="Q196" s="263"/>
      <c r="R196" s="264"/>
      <c r="S196" s="267"/>
      <c r="T196" s="267"/>
      <c r="U196" s="267"/>
      <c r="V196" s="262"/>
      <c r="W196" s="262"/>
      <c r="AD196" s="274"/>
      <c r="AE196" s="275"/>
      <c r="AF196" s="275"/>
      <c r="AG196" s="275"/>
      <c r="AH196" s="275"/>
      <c r="AI196" s="275"/>
      <c r="AJ196" s="275"/>
      <c r="AK196" s="275"/>
      <c r="AL196" s="275"/>
      <c r="AM196" s="275"/>
      <c r="AN196" s="275"/>
      <c r="AO196" s="275"/>
      <c r="AP196" s="275"/>
      <c r="AQ196" s="263"/>
      <c r="AR196" s="277"/>
      <c r="AS196" s="264"/>
      <c r="AT196" s="262"/>
    </row>
    <row r="197" ht="14.25" customHeight="1" spans="2:46">
      <c r="B197" s="262"/>
      <c r="C197" s="263"/>
      <c r="D197" s="264"/>
      <c r="E197" s="264"/>
      <c r="F197" s="262"/>
      <c r="G197" s="262"/>
      <c r="H197" s="262"/>
      <c r="I197" s="267"/>
      <c r="J197" s="262"/>
      <c r="K197" s="264"/>
      <c r="L197" s="264"/>
      <c r="M197" s="264"/>
      <c r="N197" s="264"/>
      <c r="O197" s="269"/>
      <c r="P197" s="264"/>
      <c r="Q197" s="263"/>
      <c r="R197" s="264"/>
      <c r="S197" s="267"/>
      <c r="T197" s="267"/>
      <c r="U197" s="267"/>
      <c r="V197" s="262"/>
      <c r="W197" s="262"/>
      <c r="AD197" s="274"/>
      <c r="AE197" s="275"/>
      <c r="AF197" s="275"/>
      <c r="AG197" s="275"/>
      <c r="AH197" s="275"/>
      <c r="AI197" s="275"/>
      <c r="AJ197" s="275"/>
      <c r="AK197" s="275"/>
      <c r="AL197" s="275"/>
      <c r="AM197" s="275"/>
      <c r="AN197" s="275"/>
      <c r="AO197" s="275"/>
      <c r="AP197" s="275"/>
      <c r="AQ197" s="263"/>
      <c r="AR197" s="277"/>
      <c r="AS197" s="264"/>
      <c r="AT197" s="262"/>
    </row>
    <row r="198" ht="14.25" customHeight="1" spans="2:46">
      <c r="B198" s="262"/>
      <c r="C198" s="263"/>
      <c r="D198" s="264"/>
      <c r="E198" s="264"/>
      <c r="F198" s="262"/>
      <c r="G198" s="262"/>
      <c r="H198" s="262"/>
      <c r="I198" s="267"/>
      <c r="J198" s="262"/>
      <c r="K198" s="264"/>
      <c r="L198" s="264"/>
      <c r="M198" s="264"/>
      <c r="N198" s="264"/>
      <c r="O198" s="269"/>
      <c r="P198" s="264"/>
      <c r="Q198" s="263"/>
      <c r="R198" s="264"/>
      <c r="S198" s="267"/>
      <c r="T198" s="267"/>
      <c r="U198" s="267"/>
      <c r="V198" s="262"/>
      <c r="W198" s="262"/>
      <c r="AD198" s="274"/>
      <c r="AE198" s="275"/>
      <c r="AF198" s="275"/>
      <c r="AG198" s="275"/>
      <c r="AH198" s="275"/>
      <c r="AI198" s="275"/>
      <c r="AJ198" s="275"/>
      <c r="AK198" s="275"/>
      <c r="AL198" s="275"/>
      <c r="AM198" s="275"/>
      <c r="AN198" s="275"/>
      <c r="AO198" s="275"/>
      <c r="AP198" s="275"/>
      <c r="AQ198" s="263"/>
      <c r="AR198" s="277"/>
      <c r="AS198" s="264"/>
      <c r="AT198" s="262"/>
    </row>
    <row r="199" ht="14.25" customHeight="1" spans="2:46">
      <c r="B199" s="262"/>
      <c r="C199" s="263"/>
      <c r="D199" s="264"/>
      <c r="E199" s="264"/>
      <c r="F199" s="262"/>
      <c r="G199" s="262"/>
      <c r="H199" s="262"/>
      <c r="I199" s="267"/>
      <c r="J199" s="262"/>
      <c r="K199" s="264"/>
      <c r="L199" s="264"/>
      <c r="M199" s="264"/>
      <c r="N199" s="264"/>
      <c r="O199" s="269"/>
      <c r="P199" s="264"/>
      <c r="Q199" s="263"/>
      <c r="R199" s="264"/>
      <c r="S199" s="267"/>
      <c r="T199" s="267"/>
      <c r="U199" s="267"/>
      <c r="V199" s="262"/>
      <c r="W199" s="262"/>
      <c r="AD199" s="274"/>
      <c r="AE199" s="275"/>
      <c r="AF199" s="275"/>
      <c r="AG199" s="275"/>
      <c r="AH199" s="275"/>
      <c r="AI199" s="275"/>
      <c r="AJ199" s="275"/>
      <c r="AK199" s="275"/>
      <c r="AL199" s="275"/>
      <c r="AM199" s="275"/>
      <c r="AN199" s="275"/>
      <c r="AO199" s="275"/>
      <c r="AP199" s="275"/>
      <c r="AQ199" s="263"/>
      <c r="AR199" s="277"/>
      <c r="AS199" s="264"/>
      <c r="AT199" s="262"/>
    </row>
    <row r="200" ht="14.25" customHeight="1" spans="2:46">
      <c r="B200" s="262"/>
      <c r="C200" s="263"/>
      <c r="D200" s="264"/>
      <c r="E200" s="264"/>
      <c r="F200" s="262"/>
      <c r="G200" s="262"/>
      <c r="H200" s="262"/>
      <c r="I200" s="267"/>
      <c r="J200" s="262"/>
      <c r="K200" s="264"/>
      <c r="L200" s="264"/>
      <c r="M200" s="264"/>
      <c r="N200" s="264"/>
      <c r="O200" s="269"/>
      <c r="P200" s="264"/>
      <c r="Q200" s="263"/>
      <c r="R200" s="264"/>
      <c r="S200" s="267"/>
      <c r="T200" s="267"/>
      <c r="U200" s="267"/>
      <c r="V200" s="262"/>
      <c r="W200" s="262"/>
      <c r="AD200" s="274"/>
      <c r="AE200" s="275"/>
      <c r="AF200" s="275"/>
      <c r="AG200" s="275"/>
      <c r="AH200" s="275"/>
      <c r="AI200" s="275"/>
      <c r="AJ200" s="275"/>
      <c r="AK200" s="275"/>
      <c r="AL200" s="275"/>
      <c r="AM200" s="275"/>
      <c r="AN200" s="275"/>
      <c r="AO200" s="275"/>
      <c r="AP200" s="275"/>
      <c r="AQ200" s="263"/>
      <c r="AR200" s="277"/>
      <c r="AS200" s="264"/>
      <c r="AT200" s="262"/>
    </row>
    <row r="201" ht="14.25" customHeight="1" spans="2:46">
      <c r="B201" s="262"/>
      <c r="C201" s="263"/>
      <c r="D201" s="264"/>
      <c r="E201" s="264"/>
      <c r="F201" s="262"/>
      <c r="G201" s="262"/>
      <c r="H201" s="262"/>
      <c r="I201" s="267"/>
      <c r="J201" s="262"/>
      <c r="K201" s="264"/>
      <c r="L201" s="264"/>
      <c r="M201" s="264"/>
      <c r="N201" s="264"/>
      <c r="O201" s="269"/>
      <c r="P201" s="264"/>
      <c r="Q201" s="263"/>
      <c r="R201" s="264"/>
      <c r="S201" s="267"/>
      <c r="T201" s="267"/>
      <c r="U201" s="267"/>
      <c r="V201" s="262"/>
      <c r="W201" s="262"/>
      <c r="AD201" s="274"/>
      <c r="AE201" s="275"/>
      <c r="AF201" s="275"/>
      <c r="AG201" s="275"/>
      <c r="AH201" s="275"/>
      <c r="AI201" s="275"/>
      <c r="AJ201" s="275"/>
      <c r="AK201" s="275"/>
      <c r="AL201" s="275"/>
      <c r="AM201" s="275"/>
      <c r="AN201" s="275"/>
      <c r="AO201" s="275"/>
      <c r="AP201" s="275"/>
      <c r="AQ201" s="263"/>
      <c r="AR201" s="277"/>
      <c r="AS201" s="264"/>
      <c r="AT201" s="262"/>
    </row>
    <row r="202" ht="14.25" customHeight="1" spans="2:46">
      <c r="B202" s="262"/>
      <c r="C202" s="263"/>
      <c r="D202" s="264"/>
      <c r="E202" s="264"/>
      <c r="F202" s="262"/>
      <c r="G202" s="262"/>
      <c r="H202" s="262"/>
      <c r="I202" s="267"/>
      <c r="J202" s="262"/>
      <c r="K202" s="264"/>
      <c r="L202" s="264"/>
      <c r="M202" s="264"/>
      <c r="N202" s="264"/>
      <c r="O202" s="269"/>
      <c r="P202" s="264"/>
      <c r="Q202" s="263"/>
      <c r="R202" s="264"/>
      <c r="S202" s="267"/>
      <c r="T202" s="267"/>
      <c r="U202" s="267"/>
      <c r="V202" s="262"/>
      <c r="W202" s="262"/>
      <c r="AD202" s="274"/>
      <c r="AE202" s="275"/>
      <c r="AF202" s="275"/>
      <c r="AG202" s="275"/>
      <c r="AH202" s="275"/>
      <c r="AI202" s="275"/>
      <c r="AJ202" s="275"/>
      <c r="AK202" s="275"/>
      <c r="AL202" s="275"/>
      <c r="AM202" s="275"/>
      <c r="AN202" s="275"/>
      <c r="AO202" s="275"/>
      <c r="AP202" s="275"/>
      <c r="AQ202" s="263"/>
      <c r="AR202" s="277"/>
      <c r="AS202" s="264"/>
      <c r="AT202" s="262"/>
    </row>
    <row r="203" ht="14.25" customHeight="1" spans="2:46">
      <c r="B203" s="262"/>
      <c r="C203" s="263"/>
      <c r="D203" s="264"/>
      <c r="E203" s="264"/>
      <c r="F203" s="262"/>
      <c r="G203" s="262"/>
      <c r="H203" s="262"/>
      <c r="I203" s="267"/>
      <c r="J203" s="262"/>
      <c r="K203" s="264"/>
      <c r="L203" s="264"/>
      <c r="M203" s="264"/>
      <c r="N203" s="264"/>
      <c r="O203" s="269"/>
      <c r="P203" s="264"/>
      <c r="Q203" s="263"/>
      <c r="R203" s="264"/>
      <c r="S203" s="267"/>
      <c r="T203" s="267"/>
      <c r="U203" s="267"/>
      <c r="V203" s="262"/>
      <c r="W203" s="262"/>
      <c r="AD203" s="274"/>
      <c r="AE203" s="275"/>
      <c r="AF203" s="275"/>
      <c r="AG203" s="275"/>
      <c r="AH203" s="275"/>
      <c r="AI203" s="275"/>
      <c r="AJ203" s="275"/>
      <c r="AK203" s="275"/>
      <c r="AL203" s="275"/>
      <c r="AM203" s="275"/>
      <c r="AN203" s="275"/>
      <c r="AO203" s="275"/>
      <c r="AP203" s="275"/>
      <c r="AQ203" s="263"/>
      <c r="AR203" s="277"/>
      <c r="AS203" s="264"/>
      <c r="AT203" s="262"/>
    </row>
    <row r="204" ht="14.25" customHeight="1" spans="2:46">
      <c r="B204" s="262"/>
      <c r="C204" s="263"/>
      <c r="D204" s="264"/>
      <c r="E204" s="264"/>
      <c r="F204" s="262"/>
      <c r="G204" s="262"/>
      <c r="H204" s="262"/>
      <c r="I204" s="267"/>
      <c r="J204" s="262"/>
      <c r="K204" s="264"/>
      <c r="L204" s="264"/>
      <c r="M204" s="264"/>
      <c r="N204" s="264"/>
      <c r="O204" s="269"/>
      <c r="P204" s="264"/>
      <c r="Q204" s="263"/>
      <c r="R204" s="264"/>
      <c r="S204" s="267"/>
      <c r="T204" s="267"/>
      <c r="U204" s="267"/>
      <c r="V204" s="262"/>
      <c r="W204" s="262"/>
      <c r="AD204" s="274"/>
      <c r="AE204" s="275"/>
      <c r="AF204" s="275"/>
      <c r="AG204" s="275"/>
      <c r="AH204" s="275"/>
      <c r="AI204" s="275"/>
      <c r="AJ204" s="275"/>
      <c r="AK204" s="275"/>
      <c r="AL204" s="275"/>
      <c r="AM204" s="275"/>
      <c r="AN204" s="275"/>
      <c r="AO204" s="275"/>
      <c r="AP204" s="275"/>
      <c r="AQ204" s="263"/>
      <c r="AR204" s="277"/>
      <c r="AS204" s="264"/>
      <c r="AT204" s="262"/>
    </row>
    <row r="205" ht="14.25" customHeight="1" spans="2:46">
      <c r="B205" s="262"/>
      <c r="C205" s="263"/>
      <c r="D205" s="264"/>
      <c r="E205" s="264"/>
      <c r="F205" s="262"/>
      <c r="G205" s="262"/>
      <c r="H205" s="262"/>
      <c r="I205" s="267"/>
      <c r="J205" s="262"/>
      <c r="K205" s="264"/>
      <c r="L205" s="264"/>
      <c r="M205" s="264"/>
      <c r="N205" s="264"/>
      <c r="O205" s="269"/>
      <c r="P205" s="264"/>
      <c r="Q205" s="263"/>
      <c r="R205" s="264"/>
      <c r="S205" s="267"/>
      <c r="T205" s="267"/>
      <c r="U205" s="267"/>
      <c r="V205" s="262"/>
      <c r="W205" s="262"/>
      <c r="AD205" s="274"/>
      <c r="AE205" s="275"/>
      <c r="AF205" s="275"/>
      <c r="AG205" s="275"/>
      <c r="AH205" s="275"/>
      <c r="AI205" s="275"/>
      <c r="AJ205" s="275"/>
      <c r="AK205" s="275"/>
      <c r="AL205" s="275"/>
      <c r="AM205" s="275"/>
      <c r="AN205" s="275"/>
      <c r="AO205" s="275"/>
      <c r="AP205" s="275"/>
      <c r="AQ205" s="263"/>
      <c r="AR205" s="277"/>
      <c r="AS205" s="264"/>
      <c r="AT205" s="262"/>
    </row>
    <row r="206" ht="14.25" customHeight="1" spans="2:46">
      <c r="B206" s="262"/>
      <c r="C206" s="263"/>
      <c r="D206" s="264"/>
      <c r="E206" s="264"/>
      <c r="F206" s="262"/>
      <c r="G206" s="262"/>
      <c r="H206" s="262"/>
      <c r="I206" s="267"/>
      <c r="J206" s="262"/>
      <c r="K206" s="264"/>
      <c r="L206" s="264"/>
      <c r="M206" s="264"/>
      <c r="N206" s="264"/>
      <c r="O206" s="269"/>
      <c r="P206" s="264"/>
      <c r="Q206" s="263"/>
      <c r="R206" s="264"/>
      <c r="S206" s="267"/>
      <c r="T206" s="267"/>
      <c r="U206" s="267"/>
      <c r="V206" s="262"/>
      <c r="W206" s="262"/>
      <c r="AD206" s="274"/>
      <c r="AE206" s="275"/>
      <c r="AF206" s="275"/>
      <c r="AG206" s="275"/>
      <c r="AH206" s="275"/>
      <c r="AI206" s="275"/>
      <c r="AJ206" s="275"/>
      <c r="AK206" s="275"/>
      <c r="AL206" s="275"/>
      <c r="AM206" s="275"/>
      <c r="AN206" s="275"/>
      <c r="AO206" s="275"/>
      <c r="AP206" s="275"/>
      <c r="AQ206" s="263"/>
      <c r="AR206" s="277"/>
      <c r="AS206" s="264"/>
      <c r="AT206" s="262"/>
    </row>
    <row r="207" ht="14.25" customHeight="1" spans="2:46">
      <c r="B207" s="262"/>
      <c r="C207" s="263"/>
      <c r="D207" s="264"/>
      <c r="E207" s="264"/>
      <c r="F207" s="262"/>
      <c r="G207" s="262"/>
      <c r="H207" s="262"/>
      <c r="I207" s="267"/>
      <c r="J207" s="262"/>
      <c r="K207" s="264"/>
      <c r="L207" s="264"/>
      <c r="M207" s="264"/>
      <c r="N207" s="264"/>
      <c r="O207" s="269"/>
      <c r="P207" s="264"/>
      <c r="Q207" s="263"/>
      <c r="R207" s="264"/>
      <c r="S207" s="267"/>
      <c r="T207" s="267"/>
      <c r="U207" s="267"/>
      <c r="V207" s="262"/>
      <c r="W207" s="262"/>
      <c r="AD207" s="274"/>
      <c r="AE207" s="275"/>
      <c r="AF207" s="275"/>
      <c r="AG207" s="275"/>
      <c r="AH207" s="275"/>
      <c r="AI207" s="275"/>
      <c r="AJ207" s="275"/>
      <c r="AK207" s="275"/>
      <c r="AL207" s="275"/>
      <c r="AM207" s="275"/>
      <c r="AN207" s="275"/>
      <c r="AO207" s="275"/>
      <c r="AP207" s="275"/>
      <c r="AQ207" s="263"/>
      <c r="AR207" s="277"/>
      <c r="AS207" s="264"/>
      <c r="AT207" s="262"/>
    </row>
    <row r="208" ht="14.25" customHeight="1" spans="2:46">
      <c r="B208" s="262"/>
      <c r="C208" s="263"/>
      <c r="D208" s="264"/>
      <c r="E208" s="264"/>
      <c r="F208" s="262"/>
      <c r="G208" s="262"/>
      <c r="H208" s="262"/>
      <c r="I208" s="267"/>
      <c r="J208" s="262"/>
      <c r="K208" s="264"/>
      <c r="L208" s="264"/>
      <c r="M208" s="264"/>
      <c r="N208" s="264"/>
      <c r="O208" s="269"/>
      <c r="P208" s="264"/>
      <c r="Q208" s="263"/>
      <c r="R208" s="264"/>
      <c r="S208" s="267"/>
      <c r="T208" s="267"/>
      <c r="U208" s="267"/>
      <c r="V208" s="262"/>
      <c r="W208" s="262"/>
      <c r="AD208" s="274"/>
      <c r="AE208" s="275"/>
      <c r="AF208" s="275"/>
      <c r="AG208" s="275"/>
      <c r="AH208" s="275"/>
      <c r="AI208" s="275"/>
      <c r="AJ208" s="275"/>
      <c r="AK208" s="275"/>
      <c r="AL208" s="275"/>
      <c r="AM208" s="275"/>
      <c r="AN208" s="275"/>
      <c r="AO208" s="275"/>
      <c r="AP208" s="275"/>
      <c r="AQ208" s="263"/>
      <c r="AR208" s="277"/>
      <c r="AS208" s="264"/>
      <c r="AT208" s="262"/>
    </row>
    <row r="209" ht="14.25" customHeight="1" spans="2:46">
      <c r="B209" s="262"/>
      <c r="C209" s="263"/>
      <c r="D209" s="264"/>
      <c r="E209" s="264"/>
      <c r="F209" s="262"/>
      <c r="G209" s="262"/>
      <c r="H209" s="262"/>
      <c r="I209" s="267"/>
      <c r="J209" s="262"/>
      <c r="K209" s="264"/>
      <c r="L209" s="264"/>
      <c r="M209" s="264"/>
      <c r="N209" s="264"/>
      <c r="O209" s="269"/>
      <c r="P209" s="264"/>
      <c r="Q209" s="263"/>
      <c r="R209" s="264"/>
      <c r="S209" s="267"/>
      <c r="T209" s="267"/>
      <c r="U209" s="267"/>
      <c r="V209" s="262"/>
      <c r="W209" s="262"/>
      <c r="AD209" s="274"/>
      <c r="AE209" s="275"/>
      <c r="AF209" s="275"/>
      <c r="AG209" s="275"/>
      <c r="AH209" s="275"/>
      <c r="AI209" s="275"/>
      <c r="AJ209" s="275"/>
      <c r="AK209" s="275"/>
      <c r="AL209" s="275"/>
      <c r="AM209" s="275"/>
      <c r="AN209" s="275"/>
      <c r="AO209" s="275"/>
      <c r="AP209" s="275"/>
      <c r="AQ209" s="263"/>
      <c r="AR209" s="277"/>
      <c r="AS209" s="264"/>
      <c r="AT209" s="262"/>
    </row>
    <row r="210" ht="14.25" customHeight="1" spans="2:46">
      <c r="B210" s="262"/>
      <c r="C210" s="263"/>
      <c r="D210" s="264"/>
      <c r="E210" s="264"/>
      <c r="F210" s="262"/>
      <c r="G210" s="262"/>
      <c r="H210" s="262"/>
      <c r="I210" s="267"/>
      <c r="J210" s="262"/>
      <c r="K210" s="264"/>
      <c r="L210" s="264"/>
      <c r="M210" s="264"/>
      <c r="N210" s="264"/>
      <c r="O210" s="269"/>
      <c r="P210" s="264"/>
      <c r="Q210" s="263"/>
      <c r="R210" s="264"/>
      <c r="S210" s="267"/>
      <c r="T210" s="267"/>
      <c r="U210" s="267"/>
      <c r="V210" s="262"/>
      <c r="W210" s="262"/>
      <c r="AD210" s="274"/>
      <c r="AE210" s="275"/>
      <c r="AF210" s="275"/>
      <c r="AG210" s="275"/>
      <c r="AH210" s="275"/>
      <c r="AI210" s="275"/>
      <c r="AJ210" s="275"/>
      <c r="AK210" s="275"/>
      <c r="AL210" s="275"/>
      <c r="AM210" s="275"/>
      <c r="AN210" s="275"/>
      <c r="AO210" s="275"/>
      <c r="AP210" s="275"/>
      <c r="AQ210" s="263"/>
      <c r="AR210" s="277"/>
      <c r="AS210" s="264"/>
      <c r="AT210" s="262"/>
    </row>
    <row r="211" ht="14.25" customHeight="1" spans="2:46">
      <c r="B211" s="262"/>
      <c r="C211" s="263"/>
      <c r="D211" s="264"/>
      <c r="E211" s="264"/>
      <c r="F211" s="262"/>
      <c r="G211" s="262"/>
      <c r="H211" s="262"/>
      <c r="I211" s="267"/>
      <c r="J211" s="262"/>
      <c r="K211" s="264"/>
      <c r="L211" s="264"/>
      <c r="M211" s="264"/>
      <c r="N211" s="264"/>
      <c r="O211" s="269"/>
      <c r="P211" s="264"/>
      <c r="Q211" s="263"/>
      <c r="R211" s="264"/>
      <c r="S211" s="267"/>
      <c r="T211" s="267"/>
      <c r="U211" s="267"/>
      <c r="V211" s="262"/>
      <c r="W211" s="262"/>
      <c r="AD211" s="274"/>
      <c r="AE211" s="275"/>
      <c r="AF211" s="275"/>
      <c r="AG211" s="275"/>
      <c r="AH211" s="275"/>
      <c r="AI211" s="275"/>
      <c r="AJ211" s="275"/>
      <c r="AK211" s="275"/>
      <c r="AL211" s="275"/>
      <c r="AM211" s="275"/>
      <c r="AN211" s="275"/>
      <c r="AO211" s="275"/>
      <c r="AP211" s="275"/>
      <c r="AQ211" s="263"/>
      <c r="AR211" s="277"/>
      <c r="AS211" s="264"/>
      <c r="AT211" s="262"/>
    </row>
    <row r="212" ht="14.25" customHeight="1" spans="2:46">
      <c r="B212" s="262"/>
      <c r="C212" s="263"/>
      <c r="D212" s="264"/>
      <c r="E212" s="264"/>
      <c r="F212" s="262"/>
      <c r="G212" s="262"/>
      <c r="H212" s="262"/>
      <c r="I212" s="267"/>
      <c r="J212" s="262"/>
      <c r="K212" s="264"/>
      <c r="L212" s="264"/>
      <c r="M212" s="264"/>
      <c r="N212" s="264"/>
      <c r="O212" s="269"/>
      <c r="P212" s="264"/>
      <c r="Q212" s="263"/>
      <c r="R212" s="264"/>
      <c r="S212" s="267"/>
      <c r="T212" s="267"/>
      <c r="U212" s="267"/>
      <c r="V212" s="262"/>
      <c r="W212" s="262"/>
      <c r="AD212" s="274"/>
      <c r="AE212" s="275"/>
      <c r="AF212" s="275"/>
      <c r="AG212" s="275"/>
      <c r="AH212" s="275"/>
      <c r="AI212" s="275"/>
      <c r="AJ212" s="275"/>
      <c r="AK212" s="275"/>
      <c r="AL212" s="275"/>
      <c r="AM212" s="275"/>
      <c r="AN212" s="275"/>
      <c r="AO212" s="275"/>
      <c r="AP212" s="275"/>
      <c r="AQ212" s="263"/>
      <c r="AR212" s="277"/>
      <c r="AS212" s="264"/>
      <c r="AT212" s="262"/>
    </row>
    <row r="213" ht="14.25" customHeight="1" spans="2:46">
      <c r="B213" s="262"/>
      <c r="C213" s="263"/>
      <c r="D213" s="264"/>
      <c r="E213" s="264"/>
      <c r="F213" s="262"/>
      <c r="G213" s="262"/>
      <c r="H213" s="262"/>
      <c r="I213" s="267"/>
      <c r="J213" s="262"/>
      <c r="K213" s="264"/>
      <c r="L213" s="264"/>
      <c r="M213" s="264"/>
      <c r="N213" s="264"/>
      <c r="O213" s="269"/>
      <c r="P213" s="264"/>
      <c r="Q213" s="263"/>
      <c r="R213" s="264"/>
      <c r="S213" s="267"/>
      <c r="T213" s="267"/>
      <c r="U213" s="267"/>
      <c r="V213" s="262"/>
      <c r="W213" s="262"/>
      <c r="AD213" s="274"/>
      <c r="AE213" s="275"/>
      <c r="AF213" s="275"/>
      <c r="AG213" s="275"/>
      <c r="AH213" s="275"/>
      <c r="AI213" s="275"/>
      <c r="AJ213" s="275"/>
      <c r="AK213" s="275"/>
      <c r="AL213" s="275"/>
      <c r="AM213" s="275"/>
      <c r="AN213" s="275"/>
      <c r="AO213" s="275"/>
      <c r="AP213" s="275"/>
      <c r="AQ213" s="263"/>
      <c r="AR213" s="277"/>
      <c r="AS213" s="264"/>
      <c r="AT213" s="262"/>
    </row>
    <row r="214" ht="14.25" customHeight="1" spans="2:46">
      <c r="B214" s="262"/>
      <c r="C214" s="263"/>
      <c r="D214" s="264"/>
      <c r="E214" s="264"/>
      <c r="F214" s="262"/>
      <c r="G214" s="262"/>
      <c r="H214" s="262"/>
      <c r="I214" s="267"/>
      <c r="J214" s="262"/>
      <c r="K214" s="264"/>
      <c r="L214" s="264"/>
      <c r="M214" s="264"/>
      <c r="N214" s="264"/>
      <c r="O214" s="269"/>
      <c r="P214" s="264"/>
      <c r="Q214" s="263"/>
      <c r="R214" s="264"/>
      <c r="S214" s="267"/>
      <c r="T214" s="267"/>
      <c r="U214" s="267"/>
      <c r="V214" s="262"/>
      <c r="W214" s="262"/>
      <c r="AD214" s="274"/>
      <c r="AE214" s="275"/>
      <c r="AF214" s="275"/>
      <c r="AG214" s="275"/>
      <c r="AH214" s="275"/>
      <c r="AI214" s="275"/>
      <c r="AJ214" s="275"/>
      <c r="AK214" s="275"/>
      <c r="AL214" s="275"/>
      <c r="AM214" s="275"/>
      <c r="AN214" s="275"/>
      <c r="AO214" s="275"/>
      <c r="AP214" s="275"/>
      <c r="AQ214" s="263"/>
      <c r="AR214" s="277"/>
      <c r="AS214" s="264"/>
      <c r="AT214" s="262"/>
    </row>
    <row r="215" ht="14.25" customHeight="1" spans="2:46">
      <c r="B215" s="262"/>
      <c r="C215" s="263"/>
      <c r="D215" s="264"/>
      <c r="E215" s="264"/>
      <c r="F215" s="262"/>
      <c r="G215" s="262"/>
      <c r="H215" s="262"/>
      <c r="I215" s="267"/>
      <c r="J215" s="262"/>
      <c r="K215" s="264"/>
      <c r="L215" s="264"/>
      <c r="M215" s="264"/>
      <c r="N215" s="264"/>
      <c r="O215" s="269"/>
      <c r="P215" s="264"/>
      <c r="Q215" s="263"/>
      <c r="R215" s="264"/>
      <c r="S215" s="267"/>
      <c r="T215" s="267"/>
      <c r="U215" s="267"/>
      <c r="V215" s="262"/>
      <c r="W215" s="262"/>
      <c r="AD215" s="274"/>
      <c r="AE215" s="275"/>
      <c r="AF215" s="275"/>
      <c r="AG215" s="275"/>
      <c r="AH215" s="275"/>
      <c r="AI215" s="275"/>
      <c r="AJ215" s="275"/>
      <c r="AK215" s="275"/>
      <c r="AL215" s="275"/>
      <c r="AM215" s="275"/>
      <c r="AN215" s="275"/>
      <c r="AO215" s="275"/>
      <c r="AP215" s="275"/>
      <c r="AQ215" s="263"/>
      <c r="AR215" s="277"/>
      <c r="AS215" s="264"/>
      <c r="AT215" s="262"/>
    </row>
    <row r="216" ht="14.25" customHeight="1" spans="2:46">
      <c r="B216" s="262"/>
      <c r="C216" s="263"/>
      <c r="D216" s="264"/>
      <c r="E216" s="264"/>
      <c r="F216" s="262"/>
      <c r="G216" s="262"/>
      <c r="H216" s="262"/>
      <c r="I216" s="267"/>
      <c r="J216" s="262"/>
      <c r="K216" s="264"/>
      <c r="L216" s="264"/>
      <c r="M216" s="264"/>
      <c r="N216" s="264"/>
      <c r="O216" s="269"/>
      <c r="P216" s="264"/>
      <c r="Q216" s="263"/>
      <c r="R216" s="264"/>
      <c r="S216" s="267"/>
      <c r="T216" s="267"/>
      <c r="U216" s="267"/>
      <c r="V216" s="262"/>
      <c r="W216" s="262"/>
      <c r="AD216" s="274"/>
      <c r="AE216" s="275"/>
      <c r="AF216" s="275"/>
      <c r="AG216" s="275"/>
      <c r="AH216" s="275"/>
      <c r="AI216" s="275"/>
      <c r="AJ216" s="275"/>
      <c r="AK216" s="275"/>
      <c r="AL216" s="275"/>
      <c r="AM216" s="275"/>
      <c r="AN216" s="275"/>
      <c r="AO216" s="275"/>
      <c r="AP216" s="275"/>
      <c r="AQ216" s="263"/>
      <c r="AR216" s="277"/>
      <c r="AS216" s="264"/>
      <c r="AT216" s="262"/>
    </row>
    <row r="217" ht="14.25" customHeight="1" spans="2:46">
      <c r="B217" s="262"/>
      <c r="C217" s="263"/>
      <c r="D217" s="264"/>
      <c r="E217" s="264"/>
      <c r="F217" s="262"/>
      <c r="G217" s="262"/>
      <c r="H217" s="262"/>
      <c r="I217" s="267"/>
      <c r="J217" s="262"/>
      <c r="K217" s="264"/>
      <c r="L217" s="264"/>
      <c r="M217" s="264"/>
      <c r="N217" s="264"/>
      <c r="O217" s="269"/>
      <c r="P217" s="264"/>
      <c r="Q217" s="263"/>
      <c r="R217" s="264"/>
      <c r="S217" s="267"/>
      <c r="T217" s="267"/>
      <c r="U217" s="267"/>
      <c r="V217" s="262"/>
      <c r="W217" s="262"/>
      <c r="AD217" s="274"/>
      <c r="AE217" s="275"/>
      <c r="AF217" s="275"/>
      <c r="AG217" s="275"/>
      <c r="AH217" s="275"/>
      <c r="AI217" s="275"/>
      <c r="AJ217" s="275"/>
      <c r="AK217" s="275"/>
      <c r="AL217" s="275"/>
      <c r="AM217" s="275"/>
      <c r="AN217" s="275"/>
      <c r="AO217" s="275"/>
      <c r="AP217" s="275"/>
      <c r="AQ217" s="263"/>
      <c r="AR217" s="277"/>
      <c r="AS217" s="264"/>
      <c r="AT217" s="262"/>
    </row>
    <row r="218" ht="14.25" customHeight="1" spans="2:46">
      <c r="B218" s="262"/>
      <c r="C218" s="263"/>
      <c r="D218" s="264"/>
      <c r="E218" s="264"/>
      <c r="F218" s="262"/>
      <c r="G218" s="262"/>
      <c r="H218" s="262"/>
      <c r="I218" s="267"/>
      <c r="J218" s="262"/>
      <c r="K218" s="264"/>
      <c r="L218" s="264"/>
      <c r="M218" s="264"/>
      <c r="N218" s="264"/>
      <c r="O218" s="269"/>
      <c r="P218" s="264"/>
      <c r="Q218" s="263"/>
      <c r="R218" s="264"/>
      <c r="S218" s="267"/>
      <c r="T218" s="267"/>
      <c r="U218" s="267"/>
      <c r="V218" s="262"/>
      <c r="W218" s="262"/>
      <c r="AD218" s="274"/>
      <c r="AE218" s="275"/>
      <c r="AF218" s="275"/>
      <c r="AG218" s="275"/>
      <c r="AH218" s="275"/>
      <c r="AI218" s="275"/>
      <c r="AJ218" s="275"/>
      <c r="AK218" s="275"/>
      <c r="AL218" s="275"/>
      <c r="AM218" s="275"/>
      <c r="AN218" s="275"/>
      <c r="AO218" s="275"/>
      <c r="AP218" s="275"/>
      <c r="AQ218" s="263"/>
      <c r="AR218" s="277"/>
      <c r="AS218" s="264"/>
      <c r="AT218" s="262"/>
    </row>
    <row r="219" ht="14.25" customHeight="1" spans="2:46">
      <c r="B219" s="262"/>
      <c r="C219" s="263"/>
      <c r="D219" s="264"/>
      <c r="E219" s="264"/>
      <c r="F219" s="262"/>
      <c r="G219" s="262"/>
      <c r="H219" s="262"/>
      <c r="I219" s="267"/>
      <c r="J219" s="262"/>
      <c r="K219" s="264"/>
      <c r="L219" s="264"/>
      <c r="M219" s="264"/>
      <c r="N219" s="264"/>
      <c r="O219" s="269"/>
      <c r="P219" s="264"/>
      <c r="Q219" s="263"/>
      <c r="R219" s="264"/>
      <c r="S219" s="267"/>
      <c r="T219" s="267"/>
      <c r="U219" s="267"/>
      <c r="V219" s="262"/>
      <c r="W219" s="262"/>
      <c r="AD219" s="274"/>
      <c r="AE219" s="275"/>
      <c r="AF219" s="275"/>
      <c r="AG219" s="275"/>
      <c r="AH219" s="275"/>
      <c r="AI219" s="275"/>
      <c r="AJ219" s="275"/>
      <c r="AK219" s="275"/>
      <c r="AL219" s="275"/>
      <c r="AM219" s="275"/>
      <c r="AN219" s="275"/>
      <c r="AO219" s="275"/>
      <c r="AP219" s="275"/>
      <c r="AQ219" s="263"/>
      <c r="AR219" s="277"/>
      <c r="AS219" s="264"/>
      <c r="AT219" s="262"/>
    </row>
    <row r="220" ht="14.25" customHeight="1" spans="2:46">
      <c r="B220" s="262"/>
      <c r="C220" s="263"/>
      <c r="D220" s="264"/>
      <c r="E220" s="264"/>
      <c r="F220" s="262"/>
      <c r="G220" s="262"/>
      <c r="H220" s="262"/>
      <c r="I220" s="267"/>
      <c r="J220" s="262"/>
      <c r="K220" s="264"/>
      <c r="L220" s="264"/>
      <c r="M220" s="264"/>
      <c r="N220" s="264"/>
      <c r="O220" s="269"/>
      <c r="P220" s="264"/>
      <c r="Q220" s="263"/>
      <c r="R220" s="264"/>
      <c r="S220" s="267"/>
      <c r="T220" s="267"/>
      <c r="U220" s="267"/>
      <c r="V220" s="262"/>
      <c r="W220" s="262"/>
      <c r="AD220" s="274"/>
      <c r="AE220" s="275"/>
      <c r="AF220" s="275"/>
      <c r="AG220" s="275"/>
      <c r="AH220" s="275"/>
      <c r="AI220" s="275"/>
      <c r="AJ220" s="275"/>
      <c r="AK220" s="275"/>
      <c r="AL220" s="275"/>
      <c r="AM220" s="275"/>
      <c r="AN220" s="275"/>
      <c r="AO220" s="275"/>
      <c r="AP220" s="275"/>
      <c r="AQ220" s="263"/>
      <c r="AR220" s="277"/>
      <c r="AS220" s="264"/>
      <c r="AT220" s="262"/>
    </row>
    <row r="221" ht="14.25" customHeight="1" spans="2:46">
      <c r="B221" s="262"/>
      <c r="C221" s="263"/>
      <c r="D221" s="264"/>
      <c r="E221" s="264"/>
      <c r="F221" s="262"/>
      <c r="G221" s="262"/>
      <c r="H221" s="262"/>
      <c r="I221" s="267"/>
      <c r="J221" s="262"/>
      <c r="K221" s="264"/>
      <c r="L221" s="264"/>
      <c r="M221" s="264"/>
      <c r="N221" s="264"/>
      <c r="O221" s="269"/>
      <c r="P221" s="264"/>
      <c r="Q221" s="263"/>
      <c r="R221" s="264"/>
      <c r="S221" s="267"/>
      <c r="T221" s="267"/>
      <c r="U221" s="267"/>
      <c r="V221" s="262"/>
      <c r="W221" s="262"/>
      <c r="AD221" s="274"/>
      <c r="AE221" s="275"/>
      <c r="AF221" s="275"/>
      <c r="AG221" s="275"/>
      <c r="AH221" s="275"/>
      <c r="AI221" s="275"/>
      <c r="AJ221" s="275"/>
      <c r="AK221" s="275"/>
      <c r="AL221" s="275"/>
      <c r="AM221" s="275"/>
      <c r="AN221" s="275"/>
      <c r="AO221" s="275"/>
      <c r="AP221" s="275"/>
      <c r="AQ221" s="263"/>
      <c r="AR221" s="277"/>
      <c r="AS221" s="264"/>
      <c r="AT221" s="262"/>
    </row>
    <row r="222" ht="14.25" customHeight="1" spans="2:46">
      <c r="B222" s="262"/>
      <c r="C222" s="263"/>
      <c r="D222" s="264"/>
      <c r="E222" s="264"/>
      <c r="F222" s="262"/>
      <c r="G222" s="262"/>
      <c r="H222" s="262"/>
      <c r="I222" s="267"/>
      <c r="J222" s="262"/>
      <c r="K222" s="264"/>
      <c r="L222" s="264"/>
      <c r="M222" s="264"/>
      <c r="N222" s="264"/>
      <c r="O222" s="269"/>
      <c r="P222" s="264"/>
      <c r="Q222" s="263"/>
      <c r="R222" s="264"/>
      <c r="S222" s="267"/>
      <c r="T222" s="267"/>
      <c r="U222" s="267"/>
      <c r="V222" s="262"/>
      <c r="W222" s="262"/>
      <c r="AD222" s="274"/>
      <c r="AE222" s="275"/>
      <c r="AF222" s="275"/>
      <c r="AG222" s="275"/>
      <c r="AH222" s="275"/>
      <c r="AI222" s="275"/>
      <c r="AJ222" s="275"/>
      <c r="AK222" s="275"/>
      <c r="AL222" s="275"/>
      <c r="AM222" s="275"/>
      <c r="AN222" s="275"/>
      <c r="AO222" s="275"/>
      <c r="AP222" s="275"/>
      <c r="AQ222" s="263"/>
      <c r="AR222" s="277"/>
      <c r="AS222" s="264"/>
      <c r="AT222" s="262"/>
    </row>
    <row r="223" ht="14.25" customHeight="1" spans="2:46">
      <c r="B223" s="262"/>
      <c r="C223" s="263"/>
      <c r="D223" s="264"/>
      <c r="E223" s="264"/>
      <c r="F223" s="262"/>
      <c r="G223" s="262"/>
      <c r="H223" s="262"/>
      <c r="I223" s="267"/>
      <c r="J223" s="262"/>
      <c r="K223" s="264"/>
      <c r="L223" s="264"/>
      <c r="M223" s="264"/>
      <c r="N223" s="264"/>
      <c r="O223" s="269"/>
      <c r="P223" s="264"/>
      <c r="Q223" s="263"/>
      <c r="R223" s="264"/>
      <c r="S223" s="267"/>
      <c r="T223" s="267"/>
      <c r="U223" s="267"/>
      <c r="V223" s="262"/>
      <c r="W223" s="262"/>
      <c r="AD223" s="274"/>
      <c r="AE223" s="275"/>
      <c r="AF223" s="275"/>
      <c r="AG223" s="275"/>
      <c r="AH223" s="275"/>
      <c r="AI223" s="275"/>
      <c r="AJ223" s="275"/>
      <c r="AK223" s="275"/>
      <c r="AL223" s="275"/>
      <c r="AM223" s="275"/>
      <c r="AN223" s="275"/>
      <c r="AO223" s="275"/>
      <c r="AP223" s="275"/>
      <c r="AQ223" s="263"/>
      <c r="AR223" s="277"/>
      <c r="AS223" s="264"/>
      <c r="AT223" s="262"/>
    </row>
    <row r="224" ht="14.25" customHeight="1" spans="2:46">
      <c r="B224" s="262"/>
      <c r="C224" s="263"/>
      <c r="D224" s="264"/>
      <c r="E224" s="264"/>
      <c r="F224" s="262"/>
      <c r="G224" s="262"/>
      <c r="H224" s="262"/>
      <c r="I224" s="267"/>
      <c r="J224" s="262"/>
      <c r="K224" s="264"/>
      <c r="L224" s="264"/>
      <c r="M224" s="264"/>
      <c r="N224" s="264"/>
      <c r="O224" s="269"/>
      <c r="P224" s="264"/>
      <c r="Q224" s="263"/>
      <c r="R224" s="264"/>
      <c r="S224" s="267"/>
      <c r="T224" s="267"/>
      <c r="U224" s="267"/>
      <c r="V224" s="262"/>
      <c r="W224" s="262"/>
      <c r="AD224" s="274"/>
      <c r="AE224" s="275"/>
      <c r="AF224" s="275"/>
      <c r="AG224" s="275"/>
      <c r="AH224" s="275"/>
      <c r="AI224" s="275"/>
      <c r="AJ224" s="275"/>
      <c r="AK224" s="275"/>
      <c r="AL224" s="275"/>
      <c r="AM224" s="275"/>
      <c r="AN224" s="275"/>
      <c r="AO224" s="275"/>
      <c r="AP224" s="275"/>
      <c r="AQ224" s="263"/>
      <c r="AR224" s="277"/>
      <c r="AS224" s="264"/>
      <c r="AT224" s="262"/>
    </row>
    <row r="225" ht="14.25" customHeight="1" spans="2:46">
      <c r="B225" s="262"/>
      <c r="C225" s="263"/>
      <c r="D225" s="264"/>
      <c r="E225" s="264"/>
      <c r="F225" s="262"/>
      <c r="G225" s="262"/>
      <c r="H225" s="262"/>
      <c r="I225" s="267"/>
      <c r="J225" s="262"/>
      <c r="K225" s="264"/>
      <c r="L225" s="264"/>
      <c r="M225" s="264"/>
      <c r="N225" s="264"/>
      <c r="O225" s="269"/>
      <c r="P225" s="264"/>
      <c r="Q225" s="263"/>
      <c r="R225" s="264"/>
      <c r="S225" s="267"/>
      <c r="T225" s="267"/>
      <c r="U225" s="267"/>
      <c r="V225" s="262"/>
      <c r="W225" s="262"/>
      <c r="AD225" s="274"/>
      <c r="AE225" s="275"/>
      <c r="AF225" s="275"/>
      <c r="AG225" s="275"/>
      <c r="AH225" s="275"/>
      <c r="AI225" s="275"/>
      <c r="AJ225" s="275"/>
      <c r="AK225" s="275"/>
      <c r="AL225" s="275"/>
      <c r="AM225" s="275"/>
      <c r="AN225" s="275"/>
      <c r="AO225" s="275"/>
      <c r="AP225" s="275"/>
      <c r="AQ225" s="263"/>
      <c r="AR225" s="277"/>
      <c r="AS225" s="264"/>
      <c r="AT225" s="262"/>
    </row>
    <row r="226" ht="14.25" customHeight="1" spans="2:46">
      <c r="B226" s="262"/>
      <c r="C226" s="263"/>
      <c r="D226" s="264"/>
      <c r="E226" s="264"/>
      <c r="F226" s="262"/>
      <c r="G226" s="262"/>
      <c r="H226" s="262"/>
      <c r="I226" s="267"/>
      <c r="J226" s="262"/>
      <c r="K226" s="264"/>
      <c r="L226" s="264"/>
      <c r="M226" s="264"/>
      <c r="N226" s="264"/>
      <c r="O226" s="269"/>
      <c r="P226" s="264"/>
      <c r="Q226" s="263"/>
      <c r="R226" s="264"/>
      <c r="S226" s="267"/>
      <c r="T226" s="267"/>
      <c r="U226" s="267"/>
      <c r="V226" s="262"/>
      <c r="W226" s="262"/>
      <c r="AD226" s="274"/>
      <c r="AE226" s="275"/>
      <c r="AF226" s="275"/>
      <c r="AG226" s="275"/>
      <c r="AH226" s="275"/>
      <c r="AI226" s="275"/>
      <c r="AJ226" s="275"/>
      <c r="AK226" s="275"/>
      <c r="AL226" s="275"/>
      <c r="AM226" s="275"/>
      <c r="AN226" s="275"/>
      <c r="AO226" s="275"/>
      <c r="AP226" s="275"/>
      <c r="AQ226" s="263"/>
      <c r="AR226" s="277"/>
      <c r="AS226" s="264"/>
      <c r="AT226" s="262"/>
    </row>
    <row r="227" ht="14.25" customHeight="1" spans="2:46">
      <c r="B227" s="262"/>
      <c r="C227" s="263"/>
      <c r="D227" s="264"/>
      <c r="E227" s="264"/>
      <c r="F227" s="262"/>
      <c r="G227" s="262"/>
      <c r="H227" s="262"/>
      <c r="I227" s="267"/>
      <c r="J227" s="262"/>
      <c r="K227" s="264"/>
      <c r="L227" s="264"/>
      <c r="M227" s="264"/>
      <c r="N227" s="264"/>
      <c r="O227" s="269"/>
      <c r="P227" s="264"/>
      <c r="Q227" s="263"/>
      <c r="R227" s="264"/>
      <c r="S227" s="267"/>
      <c r="T227" s="267"/>
      <c r="U227" s="267"/>
      <c r="V227" s="262"/>
      <c r="W227" s="262"/>
      <c r="AD227" s="274"/>
      <c r="AE227" s="275"/>
      <c r="AF227" s="275"/>
      <c r="AG227" s="275"/>
      <c r="AH227" s="275"/>
      <c r="AI227" s="275"/>
      <c r="AJ227" s="275"/>
      <c r="AK227" s="275"/>
      <c r="AL227" s="275"/>
      <c r="AM227" s="275"/>
      <c r="AN227" s="275"/>
      <c r="AO227" s="275"/>
      <c r="AP227" s="275"/>
      <c r="AQ227" s="263"/>
      <c r="AR227" s="277"/>
      <c r="AS227" s="264"/>
      <c r="AT227" s="262"/>
    </row>
    <row r="228" ht="14.25" customHeight="1" spans="2:46">
      <c r="B228" s="262"/>
      <c r="C228" s="263"/>
      <c r="D228" s="264"/>
      <c r="E228" s="264"/>
      <c r="F228" s="262"/>
      <c r="G228" s="262"/>
      <c r="H228" s="262"/>
      <c r="I228" s="267"/>
      <c r="J228" s="262"/>
      <c r="K228" s="264"/>
      <c r="L228" s="264"/>
      <c r="M228" s="264"/>
      <c r="N228" s="264"/>
      <c r="O228" s="269"/>
      <c r="P228" s="264"/>
      <c r="Q228" s="263"/>
      <c r="R228" s="264"/>
      <c r="S228" s="267"/>
      <c r="T228" s="267"/>
      <c r="U228" s="267"/>
      <c r="V228" s="262"/>
      <c r="W228" s="262"/>
      <c r="AD228" s="274"/>
      <c r="AE228" s="275"/>
      <c r="AF228" s="275"/>
      <c r="AG228" s="275"/>
      <c r="AH228" s="275"/>
      <c r="AI228" s="275"/>
      <c r="AJ228" s="275"/>
      <c r="AK228" s="275"/>
      <c r="AL228" s="275"/>
      <c r="AM228" s="275"/>
      <c r="AN228" s="275"/>
      <c r="AO228" s="275"/>
      <c r="AP228" s="275"/>
      <c r="AQ228" s="263"/>
      <c r="AR228" s="277"/>
      <c r="AS228" s="264"/>
      <c r="AT228" s="262"/>
    </row>
    <row r="229" ht="14.25" customHeight="1" spans="2:46">
      <c r="B229" s="262"/>
      <c r="C229" s="263"/>
      <c r="D229" s="264"/>
      <c r="E229" s="264"/>
      <c r="F229" s="262"/>
      <c r="G229" s="262"/>
      <c r="H229" s="262"/>
      <c r="I229" s="267"/>
      <c r="J229" s="262"/>
      <c r="K229" s="264"/>
      <c r="L229" s="264"/>
      <c r="M229" s="264"/>
      <c r="N229" s="264"/>
      <c r="O229" s="269"/>
      <c r="P229" s="264"/>
      <c r="Q229" s="263"/>
      <c r="R229" s="264"/>
      <c r="S229" s="267"/>
      <c r="T229" s="267"/>
      <c r="U229" s="267"/>
      <c r="V229" s="262"/>
      <c r="W229" s="262"/>
      <c r="AD229" s="274"/>
      <c r="AE229" s="275"/>
      <c r="AF229" s="275"/>
      <c r="AG229" s="275"/>
      <c r="AH229" s="275"/>
      <c r="AI229" s="275"/>
      <c r="AJ229" s="275"/>
      <c r="AK229" s="275"/>
      <c r="AL229" s="275"/>
      <c r="AM229" s="275"/>
      <c r="AN229" s="275"/>
      <c r="AO229" s="275"/>
      <c r="AP229" s="275"/>
      <c r="AQ229" s="263"/>
      <c r="AR229" s="277"/>
      <c r="AS229" s="264"/>
      <c r="AT229" s="262"/>
    </row>
    <row r="230" ht="14.25" customHeight="1" spans="2:46">
      <c r="B230" s="262"/>
      <c r="C230" s="263"/>
      <c r="D230" s="264"/>
      <c r="E230" s="264"/>
      <c r="F230" s="262"/>
      <c r="G230" s="262"/>
      <c r="H230" s="262"/>
      <c r="I230" s="267"/>
      <c r="J230" s="262"/>
      <c r="K230" s="264"/>
      <c r="L230" s="264"/>
      <c r="M230" s="264"/>
      <c r="N230" s="264"/>
      <c r="O230" s="269"/>
      <c r="P230" s="264"/>
      <c r="Q230" s="263"/>
      <c r="R230" s="264"/>
      <c r="S230" s="267"/>
      <c r="T230" s="267"/>
      <c r="U230" s="267"/>
      <c r="V230" s="262"/>
      <c r="W230" s="262"/>
      <c r="AD230" s="274"/>
      <c r="AE230" s="275"/>
      <c r="AF230" s="275"/>
      <c r="AG230" s="275"/>
      <c r="AH230" s="275"/>
      <c r="AI230" s="275"/>
      <c r="AJ230" s="275"/>
      <c r="AK230" s="275"/>
      <c r="AL230" s="275"/>
      <c r="AM230" s="275"/>
      <c r="AN230" s="275"/>
      <c r="AO230" s="275"/>
      <c r="AP230" s="275"/>
      <c r="AQ230" s="263"/>
      <c r="AR230" s="277"/>
      <c r="AS230" s="264"/>
      <c r="AT230" s="262"/>
    </row>
    <row r="231" ht="14.25" customHeight="1" spans="2:46">
      <c r="B231" s="262"/>
      <c r="C231" s="263"/>
      <c r="D231" s="264"/>
      <c r="E231" s="264"/>
      <c r="F231" s="262"/>
      <c r="G231" s="262"/>
      <c r="H231" s="262"/>
      <c r="I231" s="267"/>
      <c r="J231" s="262"/>
      <c r="K231" s="264"/>
      <c r="L231" s="264"/>
      <c r="M231" s="264"/>
      <c r="N231" s="264"/>
      <c r="O231" s="269"/>
      <c r="P231" s="264"/>
      <c r="Q231" s="263"/>
      <c r="R231" s="264"/>
      <c r="S231" s="267"/>
      <c r="T231" s="267"/>
      <c r="U231" s="267"/>
      <c r="V231" s="262"/>
      <c r="W231" s="262"/>
      <c r="AD231" s="274"/>
      <c r="AE231" s="275"/>
      <c r="AF231" s="275"/>
      <c r="AG231" s="275"/>
      <c r="AH231" s="275"/>
      <c r="AI231" s="275"/>
      <c r="AJ231" s="275"/>
      <c r="AK231" s="275"/>
      <c r="AL231" s="275"/>
      <c r="AM231" s="275"/>
      <c r="AN231" s="275"/>
      <c r="AO231" s="275"/>
      <c r="AP231" s="275"/>
      <c r="AQ231" s="263"/>
      <c r="AR231" s="277"/>
      <c r="AS231" s="264"/>
      <c r="AT231" s="262"/>
    </row>
    <row r="232" ht="14.25" customHeight="1" spans="2:46">
      <c r="B232" s="262"/>
      <c r="C232" s="263"/>
      <c r="D232" s="264"/>
      <c r="E232" s="264"/>
      <c r="F232" s="262"/>
      <c r="G232" s="262"/>
      <c r="H232" s="262"/>
      <c r="I232" s="267"/>
      <c r="J232" s="262"/>
      <c r="K232" s="264"/>
      <c r="L232" s="264"/>
      <c r="M232" s="264"/>
      <c r="N232" s="264"/>
      <c r="O232" s="269"/>
      <c r="P232" s="264"/>
      <c r="Q232" s="263"/>
      <c r="R232" s="264"/>
      <c r="S232" s="267"/>
      <c r="T232" s="267"/>
      <c r="U232" s="267"/>
      <c r="V232" s="262"/>
      <c r="W232" s="262"/>
      <c r="AD232" s="274"/>
      <c r="AE232" s="275"/>
      <c r="AF232" s="275"/>
      <c r="AG232" s="275"/>
      <c r="AH232" s="275"/>
      <c r="AI232" s="275"/>
      <c r="AJ232" s="275"/>
      <c r="AK232" s="275"/>
      <c r="AL232" s="275"/>
      <c r="AM232" s="275"/>
      <c r="AN232" s="275"/>
      <c r="AO232" s="275"/>
      <c r="AP232" s="275"/>
      <c r="AQ232" s="263"/>
      <c r="AR232" s="277"/>
      <c r="AS232" s="264"/>
      <c r="AT232" s="262"/>
    </row>
    <row r="233" ht="14.25" customHeight="1" spans="2:46">
      <c r="B233" s="262"/>
      <c r="C233" s="263"/>
      <c r="D233" s="264"/>
      <c r="E233" s="264"/>
      <c r="F233" s="262"/>
      <c r="G233" s="262"/>
      <c r="H233" s="262"/>
      <c r="I233" s="267"/>
      <c r="J233" s="262"/>
      <c r="K233" s="264"/>
      <c r="L233" s="264"/>
      <c r="M233" s="264"/>
      <c r="N233" s="264"/>
      <c r="O233" s="269"/>
      <c r="P233" s="264"/>
      <c r="Q233" s="263"/>
      <c r="R233" s="264"/>
      <c r="S233" s="267"/>
      <c r="T233" s="267"/>
      <c r="U233" s="267"/>
      <c r="V233" s="262"/>
      <c r="W233" s="262"/>
      <c r="AD233" s="274"/>
      <c r="AE233" s="275"/>
      <c r="AF233" s="275"/>
      <c r="AG233" s="275"/>
      <c r="AH233" s="275"/>
      <c r="AI233" s="275"/>
      <c r="AJ233" s="275"/>
      <c r="AK233" s="275"/>
      <c r="AL233" s="275"/>
      <c r="AM233" s="275"/>
      <c r="AN233" s="275"/>
      <c r="AO233" s="275"/>
      <c r="AP233" s="275"/>
      <c r="AQ233" s="263"/>
      <c r="AR233" s="277"/>
      <c r="AS233" s="264"/>
      <c r="AT233" s="262"/>
    </row>
    <row r="234" ht="14.25" customHeight="1" spans="2:46">
      <c r="B234" s="262"/>
      <c r="C234" s="263"/>
      <c r="D234" s="264"/>
      <c r="E234" s="264"/>
      <c r="F234" s="262"/>
      <c r="G234" s="262"/>
      <c r="H234" s="262"/>
      <c r="I234" s="267"/>
      <c r="J234" s="262"/>
      <c r="K234" s="264"/>
      <c r="L234" s="264"/>
      <c r="M234" s="264"/>
      <c r="N234" s="264"/>
      <c r="O234" s="269"/>
      <c r="P234" s="264"/>
      <c r="Q234" s="263"/>
      <c r="R234" s="264"/>
      <c r="S234" s="267"/>
      <c r="T234" s="267"/>
      <c r="U234" s="267"/>
      <c r="V234" s="262"/>
      <c r="W234" s="262"/>
      <c r="AD234" s="274"/>
      <c r="AE234" s="275"/>
      <c r="AF234" s="275"/>
      <c r="AG234" s="275"/>
      <c r="AH234" s="275"/>
      <c r="AI234" s="275"/>
      <c r="AJ234" s="275"/>
      <c r="AK234" s="275"/>
      <c r="AL234" s="275"/>
      <c r="AM234" s="275"/>
      <c r="AN234" s="275"/>
      <c r="AO234" s="275"/>
      <c r="AP234" s="275"/>
      <c r="AQ234" s="263"/>
      <c r="AR234" s="277"/>
      <c r="AS234" s="264"/>
      <c r="AT234" s="262"/>
    </row>
    <row r="235" ht="14.25" customHeight="1" spans="2:46">
      <c r="B235" s="262"/>
      <c r="C235" s="263"/>
      <c r="D235" s="264"/>
      <c r="E235" s="264"/>
      <c r="F235" s="262"/>
      <c r="G235" s="262"/>
      <c r="H235" s="262"/>
      <c r="I235" s="267"/>
      <c r="J235" s="262"/>
      <c r="K235" s="264"/>
      <c r="L235" s="264"/>
      <c r="M235" s="264"/>
      <c r="N235" s="264"/>
      <c r="O235" s="269"/>
      <c r="P235" s="264"/>
      <c r="Q235" s="263"/>
      <c r="R235" s="264"/>
      <c r="S235" s="267"/>
      <c r="T235" s="267"/>
      <c r="U235" s="267"/>
      <c r="V235" s="262"/>
      <c r="W235" s="262"/>
      <c r="AD235" s="274"/>
      <c r="AE235" s="275"/>
      <c r="AF235" s="275"/>
      <c r="AG235" s="275"/>
      <c r="AH235" s="275"/>
      <c r="AI235" s="275"/>
      <c r="AJ235" s="275"/>
      <c r="AK235" s="275"/>
      <c r="AL235" s="275"/>
      <c r="AM235" s="275"/>
      <c r="AN235" s="275"/>
      <c r="AO235" s="275"/>
      <c r="AP235" s="275"/>
      <c r="AQ235" s="263"/>
      <c r="AR235" s="277"/>
      <c r="AS235" s="264"/>
      <c r="AT235" s="262"/>
    </row>
    <row r="236" ht="14.25" customHeight="1" spans="2:46">
      <c r="B236" s="262"/>
      <c r="C236" s="263"/>
      <c r="D236" s="264"/>
      <c r="E236" s="264"/>
      <c r="F236" s="262"/>
      <c r="G236" s="262"/>
      <c r="H236" s="262"/>
      <c r="I236" s="267"/>
      <c r="J236" s="262"/>
      <c r="K236" s="264"/>
      <c r="L236" s="264"/>
      <c r="M236" s="264"/>
      <c r="N236" s="264"/>
      <c r="O236" s="269"/>
      <c r="P236" s="264"/>
      <c r="Q236" s="263"/>
      <c r="R236" s="264"/>
      <c r="S236" s="267"/>
      <c r="T236" s="267"/>
      <c r="U236" s="267"/>
      <c r="V236" s="262"/>
      <c r="W236" s="262"/>
      <c r="AD236" s="274"/>
      <c r="AE236" s="275"/>
      <c r="AF236" s="275"/>
      <c r="AG236" s="275"/>
      <c r="AH236" s="275"/>
      <c r="AI236" s="275"/>
      <c r="AJ236" s="275"/>
      <c r="AK236" s="275"/>
      <c r="AL236" s="275"/>
      <c r="AM236" s="275"/>
      <c r="AN236" s="275"/>
      <c r="AO236" s="275"/>
      <c r="AP236" s="275"/>
      <c r="AQ236" s="263"/>
      <c r="AR236" s="277"/>
      <c r="AS236" s="264"/>
      <c r="AT236" s="262"/>
    </row>
    <row r="237" ht="14.25" customHeight="1" spans="2:46">
      <c r="B237" s="262"/>
      <c r="C237" s="263"/>
      <c r="D237" s="264"/>
      <c r="E237" s="264"/>
      <c r="F237" s="262"/>
      <c r="G237" s="262"/>
      <c r="H237" s="262"/>
      <c r="I237" s="267"/>
      <c r="J237" s="262"/>
      <c r="K237" s="264"/>
      <c r="L237" s="264"/>
      <c r="M237" s="264"/>
      <c r="N237" s="264"/>
      <c r="O237" s="269"/>
      <c r="P237" s="264"/>
      <c r="Q237" s="263"/>
      <c r="R237" s="264"/>
      <c r="S237" s="267"/>
      <c r="T237" s="267"/>
      <c r="U237" s="267"/>
      <c r="V237" s="262"/>
      <c r="W237" s="262"/>
      <c r="AD237" s="274"/>
      <c r="AE237" s="275"/>
      <c r="AF237" s="275"/>
      <c r="AG237" s="275"/>
      <c r="AH237" s="275"/>
      <c r="AI237" s="275"/>
      <c r="AJ237" s="275"/>
      <c r="AK237" s="275"/>
      <c r="AL237" s="275"/>
      <c r="AM237" s="275"/>
      <c r="AN237" s="275"/>
      <c r="AO237" s="275"/>
      <c r="AP237" s="275"/>
      <c r="AQ237" s="263"/>
      <c r="AR237" s="277"/>
      <c r="AS237" s="264"/>
      <c r="AT237" s="262"/>
    </row>
    <row r="238" ht="14.25" customHeight="1" spans="2:46">
      <c r="B238" s="262"/>
      <c r="C238" s="263"/>
      <c r="D238" s="264"/>
      <c r="E238" s="264"/>
      <c r="F238" s="262"/>
      <c r="G238" s="262"/>
      <c r="H238" s="262"/>
      <c r="I238" s="267"/>
      <c r="J238" s="262"/>
      <c r="K238" s="264"/>
      <c r="L238" s="264"/>
      <c r="M238" s="264"/>
      <c r="N238" s="264"/>
      <c r="O238" s="269"/>
      <c r="P238" s="264"/>
      <c r="Q238" s="263"/>
      <c r="R238" s="264"/>
      <c r="S238" s="267"/>
      <c r="T238" s="267"/>
      <c r="U238" s="267"/>
      <c r="V238" s="262"/>
      <c r="W238" s="262"/>
      <c r="AD238" s="274"/>
      <c r="AE238" s="275"/>
      <c r="AF238" s="275"/>
      <c r="AG238" s="275"/>
      <c r="AH238" s="275"/>
      <c r="AI238" s="275"/>
      <c r="AJ238" s="275"/>
      <c r="AK238" s="275"/>
      <c r="AL238" s="275"/>
      <c r="AM238" s="275"/>
      <c r="AN238" s="275"/>
      <c r="AO238" s="275"/>
      <c r="AP238" s="275"/>
      <c r="AQ238" s="263"/>
      <c r="AR238" s="277"/>
      <c r="AS238" s="264"/>
      <c r="AT238" s="262"/>
    </row>
    <row r="239" ht="14.25" customHeight="1" spans="2:46">
      <c r="B239" s="262"/>
      <c r="C239" s="263"/>
      <c r="D239" s="264"/>
      <c r="E239" s="264"/>
      <c r="F239" s="262"/>
      <c r="G239" s="262"/>
      <c r="H239" s="262"/>
      <c r="I239" s="267"/>
      <c r="J239" s="262"/>
      <c r="K239" s="264"/>
      <c r="L239" s="264"/>
      <c r="M239" s="264"/>
      <c r="N239" s="264"/>
      <c r="O239" s="269"/>
      <c r="P239" s="264"/>
      <c r="Q239" s="263"/>
      <c r="R239" s="264"/>
      <c r="S239" s="267"/>
      <c r="T239" s="267"/>
      <c r="U239" s="267"/>
      <c r="V239" s="262"/>
      <c r="W239" s="262"/>
      <c r="AD239" s="274"/>
      <c r="AE239" s="275"/>
      <c r="AF239" s="275"/>
      <c r="AG239" s="275"/>
      <c r="AH239" s="275"/>
      <c r="AI239" s="275"/>
      <c r="AJ239" s="275"/>
      <c r="AK239" s="275"/>
      <c r="AL239" s="275"/>
      <c r="AM239" s="275"/>
      <c r="AN239" s="275"/>
      <c r="AO239" s="275"/>
      <c r="AP239" s="275"/>
      <c r="AQ239" s="263"/>
      <c r="AR239" s="277"/>
      <c r="AS239" s="264"/>
      <c r="AT239" s="262"/>
    </row>
    <row r="240" ht="14.25" customHeight="1" spans="2:46">
      <c r="B240" s="262"/>
      <c r="C240" s="263"/>
      <c r="D240" s="264"/>
      <c r="E240" s="264"/>
      <c r="F240" s="262"/>
      <c r="G240" s="262"/>
      <c r="H240" s="262"/>
      <c r="I240" s="267"/>
      <c r="J240" s="262"/>
      <c r="K240" s="264"/>
      <c r="L240" s="264"/>
      <c r="M240" s="264"/>
      <c r="N240" s="264"/>
      <c r="O240" s="269"/>
      <c r="P240" s="264"/>
      <c r="Q240" s="263"/>
      <c r="R240" s="264"/>
      <c r="S240" s="267"/>
      <c r="T240" s="267"/>
      <c r="U240" s="267"/>
      <c r="V240" s="262"/>
      <c r="W240" s="262"/>
      <c r="AD240" s="274"/>
      <c r="AE240" s="275"/>
      <c r="AF240" s="275"/>
      <c r="AG240" s="275"/>
      <c r="AH240" s="275"/>
      <c r="AI240" s="275"/>
      <c r="AJ240" s="275"/>
      <c r="AK240" s="275"/>
      <c r="AL240" s="275"/>
      <c r="AM240" s="275"/>
      <c r="AN240" s="275"/>
      <c r="AO240" s="275"/>
      <c r="AP240" s="275"/>
      <c r="AQ240" s="263"/>
      <c r="AR240" s="277"/>
      <c r="AS240" s="264"/>
      <c r="AT240" s="262"/>
    </row>
    <row r="241" ht="14.25" customHeight="1" spans="2:46">
      <c r="B241" s="262"/>
      <c r="C241" s="263"/>
      <c r="D241" s="264"/>
      <c r="E241" s="264"/>
      <c r="F241" s="262"/>
      <c r="G241" s="262"/>
      <c r="H241" s="262"/>
      <c r="I241" s="267"/>
      <c r="J241" s="262"/>
      <c r="K241" s="264"/>
      <c r="L241" s="264"/>
      <c r="M241" s="264"/>
      <c r="N241" s="264"/>
      <c r="O241" s="269"/>
      <c r="P241" s="264"/>
      <c r="Q241" s="263"/>
      <c r="R241" s="264"/>
      <c r="S241" s="267"/>
      <c r="T241" s="267"/>
      <c r="U241" s="267"/>
      <c r="V241" s="262"/>
      <c r="W241" s="262"/>
      <c r="AD241" s="274"/>
      <c r="AE241" s="275"/>
      <c r="AF241" s="275"/>
      <c r="AG241" s="275"/>
      <c r="AH241" s="275"/>
      <c r="AI241" s="275"/>
      <c r="AJ241" s="275"/>
      <c r="AK241" s="275"/>
      <c r="AL241" s="275"/>
      <c r="AM241" s="275"/>
      <c r="AN241" s="275"/>
      <c r="AO241" s="275"/>
      <c r="AP241" s="275"/>
      <c r="AQ241" s="263"/>
      <c r="AR241" s="277"/>
      <c r="AS241" s="264"/>
      <c r="AT241" s="262"/>
    </row>
    <row r="242" ht="14.25" customHeight="1" spans="2:46">
      <c r="B242" s="262"/>
      <c r="C242" s="263"/>
      <c r="D242" s="264"/>
      <c r="E242" s="264"/>
      <c r="F242" s="262"/>
      <c r="G242" s="262"/>
      <c r="H242" s="262"/>
      <c r="I242" s="267"/>
      <c r="J242" s="262"/>
      <c r="K242" s="264"/>
      <c r="L242" s="264"/>
      <c r="M242" s="264"/>
      <c r="N242" s="264"/>
      <c r="O242" s="269"/>
      <c r="P242" s="264"/>
      <c r="Q242" s="263"/>
      <c r="R242" s="264"/>
      <c r="S242" s="267"/>
      <c r="T242" s="267"/>
      <c r="U242" s="267"/>
      <c r="V242" s="262"/>
      <c r="W242" s="262"/>
      <c r="AD242" s="274"/>
      <c r="AE242" s="275"/>
      <c r="AF242" s="275"/>
      <c r="AG242" s="275"/>
      <c r="AH242" s="275"/>
      <c r="AI242" s="275"/>
      <c r="AJ242" s="275"/>
      <c r="AK242" s="275"/>
      <c r="AL242" s="275"/>
      <c r="AM242" s="275"/>
      <c r="AN242" s="275"/>
      <c r="AO242" s="275"/>
      <c r="AP242" s="275"/>
      <c r="AQ242" s="263"/>
      <c r="AR242" s="277"/>
      <c r="AS242" s="264"/>
      <c r="AT242" s="262"/>
    </row>
    <row r="243" ht="14.25" customHeight="1" spans="2:46">
      <c r="B243" s="262"/>
      <c r="C243" s="263"/>
      <c r="D243" s="264"/>
      <c r="E243" s="264"/>
      <c r="F243" s="262"/>
      <c r="G243" s="262"/>
      <c r="H243" s="262"/>
      <c r="I243" s="267"/>
      <c r="J243" s="262"/>
      <c r="K243" s="264"/>
      <c r="L243" s="264"/>
      <c r="M243" s="264"/>
      <c r="N243" s="264"/>
      <c r="O243" s="269"/>
      <c r="P243" s="264"/>
      <c r="Q243" s="263"/>
      <c r="R243" s="264"/>
      <c r="S243" s="267"/>
      <c r="T243" s="267"/>
      <c r="U243" s="267"/>
      <c r="V243" s="262"/>
      <c r="W243" s="262"/>
      <c r="AD243" s="274"/>
      <c r="AE243" s="275"/>
      <c r="AF243" s="275"/>
      <c r="AG243" s="275"/>
      <c r="AH243" s="275"/>
      <c r="AI243" s="275"/>
      <c r="AJ243" s="275"/>
      <c r="AK243" s="275"/>
      <c r="AL243" s="275"/>
      <c r="AM243" s="275"/>
      <c r="AN243" s="275"/>
      <c r="AO243" s="275"/>
      <c r="AP243" s="275"/>
      <c r="AQ243" s="263"/>
      <c r="AR243" s="277"/>
      <c r="AS243" s="264"/>
      <c r="AT243" s="262"/>
    </row>
    <row r="244" ht="14.25" customHeight="1" spans="2:46">
      <c r="B244" s="262"/>
      <c r="C244" s="263"/>
      <c r="D244" s="264"/>
      <c r="E244" s="264"/>
      <c r="F244" s="262"/>
      <c r="G244" s="262"/>
      <c r="H244" s="262"/>
      <c r="I244" s="267"/>
      <c r="J244" s="262"/>
      <c r="K244" s="264"/>
      <c r="L244" s="264"/>
      <c r="M244" s="264"/>
      <c r="N244" s="264"/>
      <c r="O244" s="269"/>
      <c r="P244" s="264"/>
      <c r="Q244" s="263"/>
      <c r="R244" s="264"/>
      <c r="S244" s="267"/>
      <c r="T244" s="267"/>
      <c r="U244" s="267"/>
      <c r="V244" s="262"/>
      <c r="W244" s="262"/>
      <c r="AD244" s="274"/>
      <c r="AE244" s="275"/>
      <c r="AF244" s="275"/>
      <c r="AG244" s="275"/>
      <c r="AH244" s="275"/>
      <c r="AI244" s="275"/>
      <c r="AJ244" s="275"/>
      <c r="AK244" s="275"/>
      <c r="AL244" s="275"/>
      <c r="AM244" s="275"/>
      <c r="AN244" s="275"/>
      <c r="AO244" s="275"/>
      <c r="AP244" s="275"/>
      <c r="AQ244" s="263"/>
      <c r="AR244" s="277"/>
      <c r="AS244" s="264"/>
      <c r="AT244" s="262"/>
    </row>
    <row r="245" ht="14.25" customHeight="1" spans="2:46">
      <c r="B245" s="262"/>
      <c r="C245" s="263"/>
      <c r="D245" s="264"/>
      <c r="E245" s="264"/>
      <c r="F245" s="262"/>
      <c r="G245" s="262"/>
      <c r="H245" s="262"/>
      <c r="I245" s="267"/>
      <c r="J245" s="262"/>
      <c r="K245" s="264"/>
      <c r="L245" s="264"/>
      <c r="M245" s="264"/>
      <c r="N245" s="264"/>
      <c r="O245" s="269"/>
      <c r="P245" s="264"/>
      <c r="Q245" s="263"/>
      <c r="R245" s="264"/>
      <c r="S245" s="267"/>
      <c r="T245" s="267"/>
      <c r="U245" s="267"/>
      <c r="V245" s="262"/>
      <c r="W245" s="262"/>
      <c r="AD245" s="274"/>
      <c r="AE245" s="275"/>
      <c r="AF245" s="275"/>
      <c r="AG245" s="275"/>
      <c r="AH245" s="275"/>
      <c r="AI245" s="275"/>
      <c r="AJ245" s="275"/>
      <c r="AK245" s="275"/>
      <c r="AL245" s="275"/>
      <c r="AM245" s="275"/>
      <c r="AN245" s="275"/>
      <c r="AO245" s="275"/>
      <c r="AP245" s="275"/>
      <c r="AQ245" s="263"/>
      <c r="AR245" s="277"/>
      <c r="AS245" s="264"/>
      <c r="AT245" s="262"/>
    </row>
    <row r="246" ht="14.25" customHeight="1" spans="2:46">
      <c r="B246" s="262"/>
      <c r="C246" s="263"/>
      <c r="D246" s="264"/>
      <c r="E246" s="264"/>
      <c r="F246" s="262"/>
      <c r="G246" s="262"/>
      <c r="H246" s="262"/>
      <c r="I246" s="267"/>
      <c r="J246" s="262"/>
      <c r="K246" s="264"/>
      <c r="L246" s="264"/>
      <c r="M246" s="264"/>
      <c r="N246" s="264"/>
      <c r="O246" s="269"/>
      <c r="P246" s="264"/>
      <c r="Q246" s="263"/>
      <c r="R246" s="264"/>
      <c r="S246" s="267"/>
      <c r="T246" s="267"/>
      <c r="U246" s="267"/>
      <c r="V246" s="262"/>
      <c r="W246" s="262"/>
      <c r="AD246" s="274"/>
      <c r="AE246" s="275"/>
      <c r="AF246" s="275"/>
      <c r="AG246" s="275"/>
      <c r="AH246" s="275"/>
      <c r="AI246" s="275"/>
      <c r="AJ246" s="275"/>
      <c r="AK246" s="275"/>
      <c r="AL246" s="275"/>
      <c r="AM246" s="275"/>
      <c r="AN246" s="275"/>
      <c r="AO246" s="275"/>
      <c r="AP246" s="275"/>
      <c r="AQ246" s="263"/>
      <c r="AR246" s="277"/>
      <c r="AS246" s="264"/>
      <c r="AT246" s="262"/>
    </row>
    <row r="247" ht="14.25" customHeight="1" spans="2:46">
      <c r="B247" s="262"/>
      <c r="C247" s="263"/>
      <c r="D247" s="264"/>
      <c r="E247" s="264"/>
      <c r="F247" s="262"/>
      <c r="G247" s="262"/>
      <c r="H247" s="262"/>
      <c r="I247" s="267"/>
      <c r="J247" s="262"/>
      <c r="K247" s="264"/>
      <c r="L247" s="264"/>
      <c r="M247" s="264"/>
      <c r="N247" s="264"/>
      <c r="O247" s="269"/>
      <c r="P247" s="264"/>
      <c r="Q247" s="263"/>
      <c r="R247" s="264"/>
      <c r="S247" s="267"/>
      <c r="T247" s="267"/>
      <c r="U247" s="267"/>
      <c r="V247" s="262"/>
      <c r="W247" s="262"/>
      <c r="AD247" s="274"/>
      <c r="AE247" s="275"/>
      <c r="AF247" s="275"/>
      <c r="AG247" s="275"/>
      <c r="AH247" s="275"/>
      <c r="AI247" s="275"/>
      <c r="AJ247" s="275"/>
      <c r="AK247" s="275"/>
      <c r="AL247" s="275"/>
      <c r="AM247" s="275"/>
      <c r="AN247" s="275"/>
      <c r="AO247" s="275"/>
      <c r="AP247" s="275"/>
      <c r="AQ247" s="263"/>
      <c r="AR247" s="277"/>
      <c r="AS247" s="264"/>
      <c r="AT247" s="262"/>
    </row>
    <row r="248" ht="14.25" customHeight="1" spans="2:46">
      <c r="B248" s="262"/>
      <c r="C248" s="263"/>
      <c r="D248" s="264"/>
      <c r="E248" s="264"/>
      <c r="F248" s="262"/>
      <c r="G248" s="262"/>
      <c r="H248" s="262"/>
      <c r="I248" s="267"/>
      <c r="J248" s="262"/>
      <c r="K248" s="264"/>
      <c r="L248" s="264"/>
      <c r="M248" s="264"/>
      <c r="N248" s="264"/>
      <c r="O248" s="269"/>
      <c r="P248" s="264"/>
      <c r="Q248" s="263"/>
      <c r="R248" s="264"/>
      <c r="S248" s="267"/>
      <c r="T248" s="267"/>
      <c r="U248" s="267"/>
      <c r="V248" s="262"/>
      <c r="W248" s="262"/>
      <c r="AD248" s="274"/>
      <c r="AE248" s="275"/>
      <c r="AF248" s="275"/>
      <c r="AG248" s="275"/>
      <c r="AH248" s="275"/>
      <c r="AI248" s="275"/>
      <c r="AJ248" s="275"/>
      <c r="AK248" s="275"/>
      <c r="AL248" s="275"/>
      <c r="AM248" s="275"/>
      <c r="AN248" s="275"/>
      <c r="AO248" s="275"/>
      <c r="AP248" s="275"/>
      <c r="AQ248" s="263"/>
      <c r="AR248" s="277"/>
      <c r="AS248" s="264"/>
      <c r="AT248" s="262"/>
    </row>
    <row r="249" ht="14.25" customHeight="1" spans="2:46">
      <c r="B249" s="262"/>
      <c r="C249" s="263"/>
      <c r="D249" s="264"/>
      <c r="E249" s="264"/>
      <c r="F249" s="262"/>
      <c r="G249" s="262"/>
      <c r="H249" s="262"/>
      <c r="I249" s="267"/>
      <c r="J249" s="262"/>
      <c r="K249" s="264"/>
      <c r="L249" s="264"/>
      <c r="M249" s="264"/>
      <c r="N249" s="264"/>
      <c r="O249" s="269"/>
      <c r="P249" s="264"/>
      <c r="Q249" s="263"/>
      <c r="R249" s="264"/>
      <c r="S249" s="267"/>
      <c r="T249" s="267"/>
      <c r="U249" s="267"/>
      <c r="V249" s="262"/>
      <c r="W249" s="262"/>
      <c r="AD249" s="274"/>
      <c r="AE249" s="275"/>
      <c r="AF249" s="275"/>
      <c r="AG249" s="275"/>
      <c r="AH249" s="275"/>
      <c r="AI249" s="275"/>
      <c r="AJ249" s="275"/>
      <c r="AK249" s="275"/>
      <c r="AL249" s="275"/>
      <c r="AM249" s="275"/>
      <c r="AN249" s="275"/>
      <c r="AO249" s="275"/>
      <c r="AP249" s="275"/>
      <c r="AQ249" s="263"/>
      <c r="AR249" s="277"/>
      <c r="AS249" s="264"/>
      <c r="AT249" s="262"/>
    </row>
    <row r="250" ht="14.25" customHeight="1" spans="2:46">
      <c r="B250" s="262"/>
      <c r="C250" s="263"/>
      <c r="D250" s="264"/>
      <c r="E250" s="264"/>
      <c r="F250" s="262"/>
      <c r="G250" s="262"/>
      <c r="H250" s="262"/>
      <c r="I250" s="267"/>
      <c r="J250" s="262"/>
      <c r="K250" s="264"/>
      <c r="L250" s="264"/>
      <c r="M250" s="264"/>
      <c r="N250" s="264"/>
      <c r="O250" s="269"/>
      <c r="P250" s="264"/>
      <c r="Q250" s="263"/>
      <c r="R250" s="264"/>
      <c r="S250" s="267"/>
      <c r="T250" s="267"/>
      <c r="U250" s="267"/>
      <c r="V250" s="262"/>
      <c r="W250" s="262"/>
      <c r="AD250" s="274"/>
      <c r="AE250" s="275"/>
      <c r="AF250" s="275"/>
      <c r="AG250" s="275"/>
      <c r="AH250" s="275"/>
      <c r="AI250" s="275"/>
      <c r="AJ250" s="275"/>
      <c r="AK250" s="275"/>
      <c r="AL250" s="275"/>
      <c r="AM250" s="275"/>
      <c r="AN250" s="275"/>
      <c r="AO250" s="275"/>
      <c r="AP250" s="275"/>
      <c r="AQ250" s="263"/>
      <c r="AR250" s="277"/>
      <c r="AS250" s="264"/>
      <c r="AT250" s="262"/>
    </row>
    <row r="251" ht="14.25" customHeight="1" spans="2:46">
      <c r="B251" s="262"/>
      <c r="C251" s="263"/>
      <c r="D251" s="264"/>
      <c r="E251" s="264"/>
      <c r="F251" s="262"/>
      <c r="G251" s="262"/>
      <c r="H251" s="262"/>
      <c r="I251" s="267"/>
      <c r="J251" s="262"/>
      <c r="K251" s="264"/>
      <c r="L251" s="264"/>
      <c r="M251" s="264"/>
      <c r="N251" s="264"/>
      <c r="O251" s="269"/>
      <c r="P251" s="264"/>
      <c r="Q251" s="263"/>
      <c r="R251" s="264"/>
      <c r="S251" s="267"/>
      <c r="T251" s="267"/>
      <c r="U251" s="267"/>
      <c r="V251" s="262"/>
      <c r="W251" s="262"/>
      <c r="AD251" s="274"/>
      <c r="AE251" s="275"/>
      <c r="AF251" s="275"/>
      <c r="AG251" s="275"/>
      <c r="AH251" s="275"/>
      <c r="AI251" s="275"/>
      <c r="AJ251" s="275"/>
      <c r="AK251" s="275"/>
      <c r="AL251" s="275"/>
      <c r="AM251" s="275"/>
      <c r="AN251" s="275"/>
      <c r="AO251" s="275"/>
      <c r="AP251" s="275"/>
      <c r="AQ251" s="263"/>
      <c r="AR251" s="277"/>
      <c r="AS251" s="264"/>
      <c r="AT251" s="262"/>
    </row>
    <row r="252" ht="14.25" customHeight="1" spans="2:46">
      <c r="B252" s="262"/>
      <c r="C252" s="263"/>
      <c r="D252" s="264"/>
      <c r="E252" s="264"/>
      <c r="F252" s="262"/>
      <c r="G252" s="262"/>
      <c r="H252" s="262"/>
      <c r="I252" s="267"/>
      <c r="J252" s="262"/>
      <c r="K252" s="264"/>
      <c r="L252" s="264"/>
      <c r="M252" s="264"/>
      <c r="N252" s="264"/>
      <c r="O252" s="269"/>
      <c r="P252" s="264"/>
      <c r="Q252" s="263"/>
      <c r="R252" s="264"/>
      <c r="S252" s="267"/>
      <c r="T252" s="267"/>
      <c r="U252" s="267"/>
      <c r="V252" s="262"/>
      <c r="W252" s="262"/>
      <c r="AD252" s="274"/>
      <c r="AE252" s="275"/>
      <c r="AF252" s="275"/>
      <c r="AG252" s="275"/>
      <c r="AH252" s="275"/>
      <c r="AI252" s="275"/>
      <c r="AJ252" s="275"/>
      <c r="AK252" s="275"/>
      <c r="AL252" s="275"/>
      <c r="AM252" s="275"/>
      <c r="AN252" s="275"/>
      <c r="AO252" s="275"/>
      <c r="AP252" s="275"/>
      <c r="AQ252" s="263"/>
      <c r="AR252" s="277"/>
      <c r="AS252" s="264"/>
      <c r="AT252" s="262"/>
    </row>
    <row r="253" ht="14.25" customHeight="1" spans="2:46">
      <c r="B253" s="262"/>
      <c r="C253" s="263"/>
      <c r="D253" s="264"/>
      <c r="E253" s="264"/>
      <c r="F253" s="262"/>
      <c r="G253" s="262"/>
      <c r="H253" s="262"/>
      <c r="I253" s="267"/>
      <c r="J253" s="262"/>
      <c r="K253" s="264"/>
      <c r="L253" s="264"/>
      <c r="M253" s="264"/>
      <c r="N253" s="264"/>
      <c r="O253" s="269"/>
      <c r="P253" s="264"/>
      <c r="Q253" s="263"/>
      <c r="R253" s="264"/>
      <c r="S253" s="267"/>
      <c r="T253" s="267"/>
      <c r="U253" s="267"/>
      <c r="V253" s="262"/>
      <c r="W253" s="262"/>
      <c r="AD253" s="274"/>
      <c r="AE253" s="275"/>
      <c r="AF253" s="275"/>
      <c r="AG253" s="275"/>
      <c r="AH253" s="275"/>
      <c r="AI253" s="275"/>
      <c r="AJ253" s="275"/>
      <c r="AK253" s="275"/>
      <c r="AL253" s="275"/>
      <c r="AM253" s="275"/>
      <c r="AN253" s="275"/>
      <c r="AO253" s="275"/>
      <c r="AP253" s="275"/>
      <c r="AQ253" s="263"/>
      <c r="AR253" s="277"/>
      <c r="AS253" s="264"/>
      <c r="AT253" s="262"/>
    </row>
    <row r="254" ht="14.25" customHeight="1" spans="2:46">
      <c r="B254" s="262"/>
      <c r="C254" s="263"/>
      <c r="D254" s="264"/>
      <c r="E254" s="264"/>
      <c r="F254" s="262"/>
      <c r="G254" s="262"/>
      <c r="H254" s="262"/>
      <c r="I254" s="267"/>
      <c r="J254" s="262"/>
      <c r="K254" s="264"/>
      <c r="L254" s="264"/>
      <c r="M254" s="264"/>
      <c r="N254" s="264"/>
      <c r="O254" s="269"/>
      <c r="P254" s="264"/>
      <c r="Q254" s="263"/>
      <c r="R254" s="264"/>
      <c r="S254" s="267"/>
      <c r="T254" s="267"/>
      <c r="U254" s="267"/>
      <c r="V254" s="262"/>
      <c r="W254" s="262"/>
      <c r="AD254" s="274"/>
      <c r="AE254" s="275"/>
      <c r="AF254" s="275"/>
      <c r="AG254" s="275"/>
      <c r="AH254" s="275"/>
      <c r="AI254" s="275"/>
      <c r="AJ254" s="275"/>
      <c r="AK254" s="275"/>
      <c r="AL254" s="275"/>
      <c r="AM254" s="275"/>
      <c r="AN254" s="275"/>
      <c r="AO254" s="275"/>
      <c r="AP254" s="275"/>
      <c r="AQ254" s="263"/>
      <c r="AR254" s="277"/>
      <c r="AS254" s="264"/>
      <c r="AT254" s="262"/>
    </row>
    <row r="255" ht="14.25" customHeight="1" spans="2:46">
      <c r="B255" s="262"/>
      <c r="C255" s="263"/>
      <c r="D255" s="264"/>
      <c r="E255" s="264"/>
      <c r="F255" s="262"/>
      <c r="G255" s="262"/>
      <c r="H255" s="262"/>
      <c r="I255" s="267"/>
      <c r="J255" s="262"/>
      <c r="K255" s="264"/>
      <c r="L255" s="264"/>
      <c r="M255" s="264"/>
      <c r="N255" s="264"/>
      <c r="O255" s="269"/>
      <c r="P255" s="264"/>
      <c r="Q255" s="263"/>
      <c r="R255" s="264"/>
      <c r="S255" s="267"/>
      <c r="T255" s="267"/>
      <c r="U255" s="267"/>
      <c r="V255" s="262"/>
      <c r="W255" s="262"/>
      <c r="AD255" s="274"/>
      <c r="AE255" s="275"/>
      <c r="AF255" s="275"/>
      <c r="AG255" s="275"/>
      <c r="AH255" s="275"/>
      <c r="AI255" s="275"/>
      <c r="AJ255" s="275"/>
      <c r="AK255" s="275"/>
      <c r="AL255" s="275"/>
      <c r="AM255" s="275"/>
      <c r="AN255" s="275"/>
      <c r="AO255" s="275"/>
      <c r="AP255" s="275"/>
      <c r="AQ255" s="263"/>
      <c r="AR255" s="277"/>
      <c r="AS255" s="264"/>
      <c r="AT255" s="262"/>
    </row>
    <row r="256" ht="14.25" customHeight="1" spans="2:46">
      <c r="B256" s="262"/>
      <c r="C256" s="263"/>
      <c r="D256" s="264"/>
      <c r="E256" s="264"/>
      <c r="F256" s="262"/>
      <c r="G256" s="262"/>
      <c r="H256" s="262"/>
      <c r="I256" s="267"/>
      <c r="J256" s="262"/>
      <c r="K256" s="264"/>
      <c r="L256" s="264"/>
      <c r="M256" s="264"/>
      <c r="N256" s="264"/>
      <c r="O256" s="269"/>
      <c r="P256" s="264"/>
      <c r="Q256" s="263"/>
      <c r="R256" s="264"/>
      <c r="S256" s="267"/>
      <c r="T256" s="267"/>
      <c r="U256" s="267"/>
      <c r="V256" s="262"/>
      <c r="W256" s="262"/>
      <c r="AD256" s="274"/>
      <c r="AE256" s="275"/>
      <c r="AF256" s="275"/>
      <c r="AG256" s="275"/>
      <c r="AH256" s="275"/>
      <c r="AI256" s="275"/>
      <c r="AJ256" s="275"/>
      <c r="AK256" s="275"/>
      <c r="AL256" s="275"/>
      <c r="AM256" s="275"/>
      <c r="AN256" s="275"/>
      <c r="AO256" s="275"/>
      <c r="AP256" s="275"/>
      <c r="AQ256" s="263"/>
      <c r="AR256" s="277"/>
      <c r="AS256" s="264"/>
      <c r="AT256" s="262"/>
    </row>
    <row r="257" ht="14.25" customHeight="1" spans="2:46">
      <c r="B257" s="262"/>
      <c r="C257" s="263"/>
      <c r="D257" s="264"/>
      <c r="E257" s="264"/>
      <c r="F257" s="262"/>
      <c r="G257" s="262"/>
      <c r="H257" s="262"/>
      <c r="I257" s="267"/>
      <c r="J257" s="262"/>
      <c r="K257" s="264"/>
      <c r="L257" s="264"/>
      <c r="M257" s="264"/>
      <c r="N257" s="264"/>
      <c r="O257" s="269"/>
      <c r="P257" s="264"/>
      <c r="Q257" s="263"/>
      <c r="R257" s="264"/>
      <c r="S257" s="267"/>
      <c r="T257" s="267"/>
      <c r="U257" s="267"/>
      <c r="V257" s="262"/>
      <c r="W257" s="262"/>
      <c r="AD257" s="274"/>
      <c r="AE257" s="275"/>
      <c r="AF257" s="275"/>
      <c r="AG257" s="275"/>
      <c r="AH257" s="275"/>
      <c r="AI257" s="275"/>
      <c r="AJ257" s="275"/>
      <c r="AK257" s="275"/>
      <c r="AL257" s="275"/>
      <c r="AM257" s="275"/>
      <c r="AN257" s="275"/>
      <c r="AO257" s="275"/>
      <c r="AP257" s="275"/>
      <c r="AQ257" s="263"/>
      <c r="AR257" s="277"/>
      <c r="AS257" s="264"/>
      <c r="AT257" s="262"/>
    </row>
    <row r="258" ht="14.25" customHeight="1" spans="2:46">
      <c r="B258" s="262"/>
      <c r="C258" s="263"/>
      <c r="D258" s="264"/>
      <c r="E258" s="264"/>
      <c r="F258" s="262"/>
      <c r="G258" s="262"/>
      <c r="H258" s="262"/>
      <c r="I258" s="267"/>
      <c r="J258" s="262"/>
      <c r="K258" s="264"/>
      <c r="L258" s="264"/>
      <c r="M258" s="264"/>
      <c r="N258" s="264"/>
      <c r="O258" s="269"/>
      <c r="P258" s="264"/>
      <c r="Q258" s="263"/>
      <c r="R258" s="264"/>
      <c r="S258" s="267"/>
      <c r="T258" s="267"/>
      <c r="U258" s="267"/>
      <c r="V258" s="262"/>
      <c r="W258" s="262"/>
      <c r="AD258" s="274"/>
      <c r="AE258" s="275"/>
      <c r="AF258" s="275"/>
      <c r="AG258" s="275"/>
      <c r="AH258" s="275"/>
      <c r="AI258" s="275"/>
      <c r="AJ258" s="275"/>
      <c r="AK258" s="275"/>
      <c r="AL258" s="275"/>
      <c r="AM258" s="275"/>
      <c r="AN258" s="275"/>
      <c r="AO258" s="275"/>
      <c r="AP258" s="275"/>
      <c r="AQ258" s="263"/>
      <c r="AR258" s="277"/>
      <c r="AS258" s="264"/>
      <c r="AT258" s="262"/>
    </row>
    <row r="259" ht="14.25" customHeight="1" spans="2:46">
      <c r="B259" s="262"/>
      <c r="C259" s="263"/>
      <c r="D259" s="264"/>
      <c r="E259" s="264"/>
      <c r="F259" s="262"/>
      <c r="G259" s="262"/>
      <c r="H259" s="262"/>
      <c r="I259" s="267"/>
      <c r="J259" s="262"/>
      <c r="K259" s="264"/>
      <c r="L259" s="264"/>
      <c r="M259" s="264"/>
      <c r="N259" s="264"/>
      <c r="O259" s="269"/>
      <c r="P259" s="264"/>
      <c r="Q259" s="263"/>
      <c r="R259" s="264"/>
      <c r="S259" s="267"/>
      <c r="T259" s="267"/>
      <c r="U259" s="267"/>
      <c r="V259" s="262"/>
      <c r="W259" s="262"/>
      <c r="AD259" s="274"/>
      <c r="AE259" s="275"/>
      <c r="AF259" s="275"/>
      <c r="AG259" s="275"/>
      <c r="AH259" s="275"/>
      <c r="AI259" s="275"/>
      <c r="AJ259" s="275"/>
      <c r="AK259" s="275"/>
      <c r="AL259" s="275"/>
      <c r="AM259" s="275"/>
      <c r="AN259" s="275"/>
      <c r="AO259" s="275"/>
      <c r="AP259" s="275"/>
      <c r="AQ259" s="263"/>
      <c r="AR259" s="277"/>
      <c r="AS259" s="264"/>
      <c r="AT259" s="262"/>
    </row>
    <row r="260" ht="14.25" customHeight="1" spans="2:46">
      <c r="B260" s="262"/>
      <c r="C260" s="263"/>
      <c r="D260" s="264"/>
      <c r="E260" s="264"/>
      <c r="F260" s="262"/>
      <c r="G260" s="262"/>
      <c r="H260" s="262"/>
      <c r="I260" s="267"/>
      <c r="J260" s="262"/>
      <c r="K260" s="264"/>
      <c r="L260" s="264"/>
      <c r="M260" s="264"/>
      <c r="N260" s="264"/>
      <c r="O260" s="269"/>
      <c r="P260" s="264"/>
      <c r="Q260" s="263"/>
      <c r="R260" s="264"/>
      <c r="S260" s="267"/>
      <c r="T260" s="267"/>
      <c r="U260" s="267"/>
      <c r="V260" s="262"/>
      <c r="W260" s="262"/>
      <c r="AD260" s="274"/>
      <c r="AE260" s="275"/>
      <c r="AF260" s="275"/>
      <c r="AG260" s="275"/>
      <c r="AH260" s="275"/>
      <c r="AI260" s="275"/>
      <c r="AJ260" s="275"/>
      <c r="AK260" s="275"/>
      <c r="AL260" s="275"/>
      <c r="AM260" s="275"/>
      <c r="AN260" s="275"/>
      <c r="AO260" s="275"/>
      <c r="AP260" s="275"/>
      <c r="AQ260" s="263"/>
      <c r="AR260" s="277"/>
      <c r="AS260" s="264"/>
      <c r="AT260" s="262"/>
    </row>
    <row r="261" ht="14.25" customHeight="1" spans="2:46">
      <c r="B261" s="262"/>
      <c r="C261" s="263"/>
      <c r="D261" s="264"/>
      <c r="E261" s="264"/>
      <c r="F261" s="262"/>
      <c r="G261" s="262"/>
      <c r="H261" s="262"/>
      <c r="I261" s="267"/>
      <c r="J261" s="262"/>
      <c r="K261" s="264"/>
      <c r="L261" s="264"/>
      <c r="M261" s="264"/>
      <c r="N261" s="264"/>
      <c r="O261" s="269"/>
      <c r="P261" s="264"/>
      <c r="Q261" s="263"/>
      <c r="R261" s="264"/>
      <c r="S261" s="267"/>
      <c r="T261" s="267"/>
      <c r="U261" s="267"/>
      <c r="V261" s="262"/>
      <c r="W261" s="262"/>
      <c r="AD261" s="274"/>
      <c r="AE261" s="275"/>
      <c r="AF261" s="275"/>
      <c r="AG261" s="275"/>
      <c r="AH261" s="275"/>
      <c r="AI261" s="275"/>
      <c r="AJ261" s="275"/>
      <c r="AK261" s="275"/>
      <c r="AL261" s="275"/>
      <c r="AM261" s="275"/>
      <c r="AN261" s="275"/>
      <c r="AO261" s="275"/>
      <c r="AP261" s="275"/>
      <c r="AQ261" s="263"/>
      <c r="AR261" s="277"/>
      <c r="AS261" s="264"/>
      <c r="AT261" s="262"/>
    </row>
    <row r="262" ht="14.25" customHeight="1" spans="2:46">
      <c r="B262" s="262"/>
      <c r="C262" s="263"/>
      <c r="D262" s="264"/>
      <c r="E262" s="264"/>
      <c r="F262" s="262"/>
      <c r="G262" s="262"/>
      <c r="H262" s="262"/>
      <c r="I262" s="267"/>
      <c r="J262" s="262"/>
      <c r="K262" s="264"/>
      <c r="L262" s="264"/>
      <c r="M262" s="264"/>
      <c r="N262" s="264"/>
      <c r="O262" s="269"/>
      <c r="P262" s="264"/>
      <c r="Q262" s="263"/>
      <c r="R262" s="264"/>
      <c r="S262" s="267"/>
      <c r="T262" s="267"/>
      <c r="U262" s="267"/>
      <c r="V262" s="262"/>
      <c r="W262" s="262"/>
      <c r="AD262" s="274"/>
      <c r="AE262" s="275"/>
      <c r="AF262" s="275"/>
      <c r="AG262" s="275"/>
      <c r="AH262" s="275"/>
      <c r="AI262" s="275"/>
      <c r="AJ262" s="275"/>
      <c r="AK262" s="275"/>
      <c r="AL262" s="275"/>
      <c r="AM262" s="275"/>
      <c r="AN262" s="275"/>
      <c r="AO262" s="275"/>
      <c r="AP262" s="275"/>
      <c r="AQ262" s="263"/>
      <c r="AR262" s="277"/>
      <c r="AS262" s="264"/>
      <c r="AT262" s="262"/>
    </row>
    <row r="263" ht="14.25" customHeight="1" spans="2:46">
      <c r="B263" s="262"/>
      <c r="C263" s="263"/>
      <c r="D263" s="264"/>
      <c r="E263" s="264"/>
      <c r="F263" s="262"/>
      <c r="G263" s="262"/>
      <c r="H263" s="262"/>
      <c r="I263" s="267"/>
      <c r="J263" s="262"/>
      <c r="K263" s="264"/>
      <c r="L263" s="264"/>
      <c r="M263" s="264"/>
      <c r="N263" s="264"/>
      <c r="O263" s="269"/>
      <c r="P263" s="264"/>
      <c r="Q263" s="263"/>
      <c r="R263" s="264"/>
      <c r="S263" s="267"/>
      <c r="T263" s="267"/>
      <c r="U263" s="267"/>
      <c r="V263" s="262"/>
      <c r="W263" s="262"/>
      <c r="AD263" s="274"/>
      <c r="AE263" s="275"/>
      <c r="AF263" s="275"/>
      <c r="AG263" s="275"/>
      <c r="AH263" s="275"/>
      <c r="AI263" s="275"/>
      <c r="AJ263" s="275"/>
      <c r="AK263" s="275"/>
      <c r="AL263" s="275"/>
      <c r="AM263" s="275"/>
      <c r="AN263" s="275"/>
      <c r="AO263" s="275"/>
      <c r="AP263" s="275"/>
      <c r="AQ263" s="263"/>
      <c r="AR263" s="277"/>
      <c r="AS263" s="264"/>
      <c r="AT263" s="262"/>
    </row>
    <row r="264" ht="14.25" customHeight="1" spans="2:46">
      <c r="B264" s="262"/>
      <c r="C264" s="263"/>
      <c r="D264" s="264"/>
      <c r="E264" s="264"/>
      <c r="F264" s="262"/>
      <c r="G264" s="262"/>
      <c r="H264" s="262"/>
      <c r="I264" s="267"/>
      <c r="J264" s="262"/>
      <c r="K264" s="264"/>
      <c r="L264" s="264"/>
      <c r="M264" s="264"/>
      <c r="N264" s="264"/>
      <c r="O264" s="269"/>
      <c r="P264" s="264"/>
      <c r="Q264" s="263"/>
      <c r="R264" s="264"/>
      <c r="S264" s="267"/>
      <c r="T264" s="267"/>
      <c r="U264" s="267"/>
      <c r="V264" s="262"/>
      <c r="W264" s="262"/>
      <c r="AD264" s="274"/>
      <c r="AE264" s="275"/>
      <c r="AF264" s="275"/>
      <c r="AG264" s="275"/>
      <c r="AH264" s="275"/>
      <c r="AI264" s="275"/>
      <c r="AJ264" s="275"/>
      <c r="AK264" s="275"/>
      <c r="AL264" s="275"/>
      <c r="AM264" s="275"/>
      <c r="AN264" s="275"/>
      <c r="AO264" s="275"/>
      <c r="AP264" s="275"/>
      <c r="AQ264" s="263"/>
      <c r="AR264" s="277"/>
      <c r="AS264" s="264"/>
      <c r="AT264" s="262"/>
    </row>
    <row r="265" ht="14.25" customHeight="1" spans="2:46">
      <c r="B265" s="262"/>
      <c r="C265" s="263"/>
      <c r="D265" s="264"/>
      <c r="E265" s="264"/>
      <c r="F265" s="262"/>
      <c r="G265" s="262"/>
      <c r="H265" s="262"/>
      <c r="I265" s="267"/>
      <c r="J265" s="262"/>
      <c r="K265" s="264"/>
      <c r="L265" s="264"/>
      <c r="M265" s="264"/>
      <c r="N265" s="264"/>
      <c r="O265" s="269"/>
      <c r="P265" s="264"/>
      <c r="Q265" s="263"/>
      <c r="R265" s="264"/>
      <c r="S265" s="267"/>
      <c r="T265" s="267"/>
      <c r="U265" s="267"/>
      <c r="V265" s="262"/>
      <c r="W265" s="262"/>
      <c r="AD265" s="274"/>
      <c r="AE265" s="275"/>
      <c r="AF265" s="275"/>
      <c r="AG265" s="275"/>
      <c r="AH265" s="275"/>
      <c r="AI265" s="275"/>
      <c r="AJ265" s="275"/>
      <c r="AK265" s="275"/>
      <c r="AL265" s="275"/>
      <c r="AM265" s="275"/>
      <c r="AN265" s="275"/>
      <c r="AO265" s="275"/>
      <c r="AP265" s="275"/>
      <c r="AQ265" s="263"/>
      <c r="AR265" s="277"/>
      <c r="AS265" s="264"/>
      <c r="AT265" s="262"/>
    </row>
    <row r="266" ht="14.25" customHeight="1" spans="2:46">
      <c r="B266" s="262"/>
      <c r="C266" s="263"/>
      <c r="D266" s="264"/>
      <c r="E266" s="264"/>
      <c r="F266" s="262"/>
      <c r="G266" s="262"/>
      <c r="H266" s="262"/>
      <c r="I266" s="267"/>
      <c r="J266" s="262"/>
      <c r="K266" s="264"/>
      <c r="L266" s="264"/>
      <c r="M266" s="264"/>
      <c r="N266" s="264"/>
      <c r="O266" s="269"/>
      <c r="P266" s="264"/>
      <c r="Q266" s="263"/>
      <c r="R266" s="264"/>
      <c r="S266" s="267"/>
      <c r="T266" s="267"/>
      <c r="U266" s="267"/>
      <c r="V266" s="262"/>
      <c r="W266" s="262"/>
      <c r="AD266" s="274"/>
      <c r="AE266" s="275"/>
      <c r="AF266" s="275"/>
      <c r="AG266" s="275"/>
      <c r="AH266" s="275"/>
      <c r="AI266" s="275"/>
      <c r="AJ266" s="275"/>
      <c r="AK266" s="275"/>
      <c r="AL266" s="275"/>
      <c r="AM266" s="275"/>
      <c r="AN266" s="275"/>
      <c r="AO266" s="275"/>
      <c r="AP266" s="275"/>
      <c r="AQ266" s="263"/>
      <c r="AR266" s="277"/>
      <c r="AS266" s="264"/>
      <c r="AT266" s="262"/>
    </row>
    <row r="267" ht="14.25" customHeight="1" spans="2:46">
      <c r="B267" s="262"/>
      <c r="C267" s="263"/>
      <c r="D267" s="264"/>
      <c r="E267" s="264"/>
      <c r="F267" s="262"/>
      <c r="G267" s="262"/>
      <c r="H267" s="262"/>
      <c r="I267" s="267"/>
      <c r="J267" s="262"/>
      <c r="K267" s="264"/>
      <c r="L267" s="264"/>
      <c r="M267" s="264"/>
      <c r="N267" s="264"/>
      <c r="O267" s="269"/>
      <c r="P267" s="264"/>
      <c r="Q267" s="263"/>
      <c r="R267" s="264"/>
      <c r="S267" s="267"/>
      <c r="T267" s="267"/>
      <c r="U267" s="267"/>
      <c r="V267" s="262"/>
      <c r="W267" s="262"/>
      <c r="AD267" s="274"/>
      <c r="AE267" s="275"/>
      <c r="AF267" s="275"/>
      <c r="AG267" s="275"/>
      <c r="AH267" s="275"/>
      <c r="AI267" s="275"/>
      <c r="AJ267" s="275"/>
      <c r="AK267" s="275"/>
      <c r="AL267" s="275"/>
      <c r="AM267" s="275"/>
      <c r="AN267" s="275"/>
      <c r="AO267" s="275"/>
      <c r="AP267" s="275"/>
      <c r="AQ267" s="263"/>
      <c r="AR267" s="277"/>
      <c r="AS267" s="264"/>
      <c r="AT267" s="262"/>
    </row>
    <row r="268" ht="14.25" customHeight="1" spans="2:46">
      <c r="B268" s="262"/>
      <c r="C268" s="263"/>
      <c r="D268" s="264"/>
      <c r="E268" s="264"/>
      <c r="F268" s="262"/>
      <c r="G268" s="262"/>
      <c r="H268" s="262"/>
      <c r="I268" s="267"/>
      <c r="J268" s="262"/>
      <c r="K268" s="264"/>
      <c r="L268" s="264"/>
      <c r="M268" s="264"/>
      <c r="N268" s="264"/>
      <c r="O268" s="269"/>
      <c r="P268" s="264"/>
      <c r="Q268" s="263"/>
      <c r="R268" s="264"/>
      <c r="S268" s="267"/>
      <c r="T268" s="267"/>
      <c r="U268" s="267"/>
      <c r="V268" s="262"/>
      <c r="W268" s="262"/>
      <c r="AD268" s="274"/>
      <c r="AE268" s="275"/>
      <c r="AF268" s="275"/>
      <c r="AG268" s="275"/>
      <c r="AH268" s="275"/>
      <c r="AI268" s="275"/>
      <c r="AJ268" s="275"/>
      <c r="AK268" s="275"/>
      <c r="AL268" s="275"/>
      <c r="AM268" s="275"/>
      <c r="AN268" s="275"/>
      <c r="AO268" s="275"/>
      <c r="AP268" s="275"/>
      <c r="AQ268" s="263"/>
      <c r="AR268" s="277"/>
      <c r="AS268" s="264"/>
      <c r="AT268" s="262"/>
    </row>
    <row r="269" ht="14.25" customHeight="1" spans="2:46">
      <c r="B269" s="262"/>
      <c r="C269" s="263"/>
      <c r="D269" s="264"/>
      <c r="E269" s="264"/>
      <c r="F269" s="262"/>
      <c r="G269" s="262"/>
      <c r="H269" s="262"/>
      <c r="I269" s="267"/>
      <c r="J269" s="262"/>
      <c r="K269" s="264"/>
      <c r="L269" s="264"/>
      <c r="M269" s="264"/>
      <c r="N269" s="264"/>
      <c r="O269" s="269"/>
      <c r="P269" s="264"/>
      <c r="Q269" s="263"/>
      <c r="R269" s="264"/>
      <c r="S269" s="267"/>
      <c r="T269" s="267"/>
      <c r="U269" s="267"/>
      <c r="V269" s="262"/>
      <c r="W269" s="262"/>
      <c r="AD269" s="274"/>
      <c r="AE269" s="275"/>
      <c r="AF269" s="275"/>
      <c r="AG269" s="275"/>
      <c r="AH269" s="275"/>
      <c r="AI269" s="275"/>
      <c r="AJ269" s="275"/>
      <c r="AK269" s="275"/>
      <c r="AL269" s="275"/>
      <c r="AM269" s="275"/>
      <c r="AN269" s="275"/>
      <c r="AO269" s="275"/>
      <c r="AP269" s="275"/>
      <c r="AQ269" s="263"/>
      <c r="AR269" s="277"/>
      <c r="AS269" s="264"/>
      <c r="AT269" s="262"/>
    </row>
    <row r="270" ht="14.25" customHeight="1" spans="2:46">
      <c r="B270" s="262"/>
      <c r="C270" s="263"/>
      <c r="D270" s="264"/>
      <c r="E270" s="264"/>
      <c r="F270" s="262"/>
      <c r="G270" s="262"/>
      <c r="H270" s="262"/>
      <c r="I270" s="267"/>
      <c r="J270" s="262"/>
      <c r="K270" s="264"/>
      <c r="L270" s="264"/>
      <c r="M270" s="264"/>
      <c r="N270" s="264"/>
      <c r="O270" s="269"/>
      <c r="P270" s="264"/>
      <c r="Q270" s="263"/>
      <c r="R270" s="264"/>
      <c r="S270" s="267"/>
      <c r="T270" s="267"/>
      <c r="U270" s="267"/>
      <c r="V270" s="262"/>
      <c r="W270" s="262"/>
      <c r="AD270" s="274"/>
      <c r="AE270" s="275"/>
      <c r="AF270" s="275"/>
      <c r="AG270" s="275"/>
      <c r="AH270" s="275"/>
      <c r="AI270" s="275"/>
      <c r="AJ270" s="275"/>
      <c r="AK270" s="275"/>
      <c r="AL270" s="275"/>
      <c r="AM270" s="275"/>
      <c r="AN270" s="275"/>
      <c r="AO270" s="275"/>
      <c r="AP270" s="275"/>
      <c r="AQ270" s="263"/>
      <c r="AR270" s="277"/>
      <c r="AS270" s="264"/>
      <c r="AT270" s="262"/>
    </row>
    <row r="271" ht="14.25" customHeight="1" spans="2:46">
      <c r="B271" s="262"/>
      <c r="C271" s="263"/>
      <c r="D271" s="264"/>
      <c r="E271" s="264"/>
      <c r="F271" s="262"/>
      <c r="G271" s="262"/>
      <c r="H271" s="262"/>
      <c r="I271" s="267"/>
      <c r="J271" s="262"/>
      <c r="K271" s="264"/>
      <c r="L271" s="264"/>
      <c r="M271" s="264"/>
      <c r="N271" s="264"/>
      <c r="O271" s="269"/>
      <c r="P271" s="264"/>
      <c r="Q271" s="263"/>
      <c r="R271" s="264"/>
      <c r="S271" s="267"/>
      <c r="T271" s="267"/>
      <c r="U271" s="267"/>
      <c r="V271" s="262"/>
      <c r="W271" s="262"/>
      <c r="AD271" s="274"/>
      <c r="AE271" s="275"/>
      <c r="AF271" s="275"/>
      <c r="AG271" s="275"/>
      <c r="AH271" s="275"/>
      <c r="AI271" s="275"/>
      <c r="AJ271" s="275"/>
      <c r="AK271" s="275"/>
      <c r="AL271" s="275"/>
      <c r="AM271" s="275"/>
      <c r="AN271" s="275"/>
      <c r="AO271" s="275"/>
      <c r="AP271" s="275"/>
      <c r="AQ271" s="263"/>
      <c r="AR271" s="277"/>
      <c r="AS271" s="264"/>
      <c r="AT271" s="262"/>
    </row>
    <row r="272" ht="14.25" customHeight="1" spans="2:46">
      <c r="B272" s="262"/>
      <c r="C272" s="263"/>
      <c r="D272" s="264"/>
      <c r="E272" s="264"/>
      <c r="F272" s="262"/>
      <c r="G272" s="262"/>
      <c r="H272" s="262"/>
      <c r="I272" s="267"/>
      <c r="J272" s="262"/>
      <c r="K272" s="264"/>
      <c r="L272" s="264"/>
      <c r="M272" s="264"/>
      <c r="N272" s="264"/>
      <c r="O272" s="269"/>
      <c r="P272" s="264"/>
      <c r="Q272" s="263"/>
      <c r="R272" s="264"/>
      <c r="S272" s="267"/>
      <c r="T272" s="267"/>
      <c r="U272" s="267"/>
      <c r="V272" s="262"/>
      <c r="W272" s="262"/>
      <c r="AD272" s="274"/>
      <c r="AE272" s="275"/>
      <c r="AF272" s="275"/>
      <c r="AG272" s="275"/>
      <c r="AH272" s="275"/>
      <c r="AI272" s="275"/>
      <c r="AJ272" s="275"/>
      <c r="AK272" s="275"/>
      <c r="AL272" s="275"/>
      <c r="AM272" s="275"/>
      <c r="AN272" s="275"/>
      <c r="AO272" s="275"/>
      <c r="AP272" s="275"/>
      <c r="AQ272" s="263"/>
      <c r="AR272" s="277"/>
      <c r="AS272" s="264"/>
      <c r="AT272" s="262"/>
    </row>
    <row r="273" ht="14.25" customHeight="1" spans="2:46">
      <c r="B273" s="262"/>
      <c r="C273" s="263"/>
      <c r="D273" s="264"/>
      <c r="E273" s="264"/>
      <c r="F273" s="262"/>
      <c r="G273" s="262"/>
      <c r="H273" s="262"/>
      <c r="I273" s="267"/>
      <c r="J273" s="262"/>
      <c r="K273" s="264"/>
      <c r="L273" s="264"/>
      <c r="M273" s="264"/>
      <c r="N273" s="264"/>
      <c r="O273" s="269"/>
      <c r="P273" s="264"/>
      <c r="Q273" s="263"/>
      <c r="R273" s="264"/>
      <c r="S273" s="267"/>
      <c r="T273" s="267"/>
      <c r="U273" s="267"/>
      <c r="V273" s="262"/>
      <c r="W273" s="262"/>
      <c r="AD273" s="274"/>
      <c r="AE273" s="275"/>
      <c r="AF273" s="275"/>
      <c r="AG273" s="275"/>
      <c r="AH273" s="275"/>
      <c r="AI273" s="275"/>
      <c r="AJ273" s="275"/>
      <c r="AK273" s="275"/>
      <c r="AL273" s="275"/>
      <c r="AM273" s="275"/>
      <c r="AN273" s="275"/>
      <c r="AO273" s="275"/>
      <c r="AP273" s="275"/>
      <c r="AQ273" s="263"/>
      <c r="AR273" s="277"/>
      <c r="AS273" s="264"/>
      <c r="AT273" s="262"/>
    </row>
    <row r="274" ht="14.25" customHeight="1" spans="2:46">
      <c r="B274" s="262"/>
      <c r="C274" s="263"/>
      <c r="D274" s="264"/>
      <c r="E274" s="264"/>
      <c r="F274" s="262"/>
      <c r="G274" s="262"/>
      <c r="H274" s="262"/>
      <c r="I274" s="267"/>
      <c r="J274" s="262"/>
      <c r="K274" s="264"/>
      <c r="L274" s="264"/>
      <c r="M274" s="264"/>
      <c r="N274" s="264"/>
      <c r="O274" s="269"/>
      <c r="P274" s="264"/>
      <c r="Q274" s="263"/>
      <c r="R274" s="264"/>
      <c r="S274" s="267"/>
      <c r="T274" s="267"/>
      <c r="U274" s="267"/>
      <c r="V274" s="262"/>
      <c r="W274" s="262"/>
      <c r="AD274" s="274"/>
      <c r="AE274" s="275"/>
      <c r="AF274" s="275"/>
      <c r="AG274" s="275"/>
      <c r="AH274" s="275"/>
      <c r="AI274" s="275"/>
      <c r="AJ274" s="275"/>
      <c r="AK274" s="275"/>
      <c r="AL274" s="275"/>
      <c r="AM274" s="275"/>
      <c r="AN274" s="275"/>
      <c r="AO274" s="275"/>
      <c r="AP274" s="275"/>
      <c r="AQ274" s="263"/>
      <c r="AR274" s="277"/>
      <c r="AS274" s="264"/>
      <c r="AT274" s="262"/>
    </row>
    <row r="275" ht="14.25" customHeight="1" spans="2:46">
      <c r="B275" s="262"/>
      <c r="C275" s="263"/>
      <c r="D275" s="264"/>
      <c r="E275" s="264"/>
      <c r="F275" s="262"/>
      <c r="G275" s="262"/>
      <c r="H275" s="262"/>
      <c r="I275" s="267"/>
      <c r="J275" s="262"/>
      <c r="K275" s="264"/>
      <c r="L275" s="264"/>
      <c r="M275" s="264"/>
      <c r="N275" s="264"/>
      <c r="O275" s="269"/>
      <c r="P275" s="264"/>
      <c r="Q275" s="263"/>
      <c r="R275" s="264"/>
      <c r="S275" s="267"/>
      <c r="T275" s="267"/>
      <c r="U275" s="267"/>
      <c r="V275" s="262"/>
      <c r="W275" s="262"/>
      <c r="AD275" s="274"/>
      <c r="AE275" s="275"/>
      <c r="AF275" s="275"/>
      <c r="AG275" s="275"/>
      <c r="AH275" s="275"/>
      <c r="AI275" s="275"/>
      <c r="AJ275" s="275"/>
      <c r="AK275" s="275"/>
      <c r="AL275" s="275"/>
      <c r="AM275" s="275"/>
      <c r="AN275" s="275"/>
      <c r="AO275" s="275"/>
      <c r="AP275" s="275"/>
      <c r="AQ275" s="263"/>
      <c r="AR275" s="277"/>
      <c r="AS275" s="264"/>
      <c r="AT275" s="262"/>
    </row>
    <row r="276" ht="14.25" customHeight="1" spans="2:46">
      <c r="B276" s="262"/>
      <c r="C276" s="263"/>
      <c r="D276" s="264"/>
      <c r="E276" s="264"/>
      <c r="F276" s="262"/>
      <c r="G276" s="262"/>
      <c r="H276" s="262"/>
      <c r="I276" s="267"/>
      <c r="J276" s="262"/>
      <c r="K276" s="264"/>
      <c r="L276" s="264"/>
      <c r="M276" s="264"/>
      <c r="N276" s="264"/>
      <c r="O276" s="269"/>
      <c r="P276" s="264"/>
      <c r="Q276" s="263"/>
      <c r="R276" s="264"/>
      <c r="S276" s="267"/>
      <c r="T276" s="267"/>
      <c r="U276" s="267"/>
      <c r="V276" s="262"/>
      <c r="W276" s="262"/>
      <c r="AD276" s="274"/>
      <c r="AE276" s="275"/>
      <c r="AF276" s="275"/>
      <c r="AG276" s="275"/>
      <c r="AH276" s="275"/>
      <c r="AI276" s="275"/>
      <c r="AJ276" s="275"/>
      <c r="AK276" s="275"/>
      <c r="AL276" s="275"/>
      <c r="AM276" s="275"/>
      <c r="AN276" s="275"/>
      <c r="AO276" s="275"/>
      <c r="AP276" s="275"/>
      <c r="AQ276" s="263"/>
      <c r="AR276" s="277"/>
      <c r="AS276" s="264"/>
      <c r="AT276" s="262"/>
    </row>
    <row r="277" ht="14.25" customHeight="1" spans="2:46">
      <c r="B277" s="262"/>
      <c r="C277" s="263"/>
      <c r="D277" s="264"/>
      <c r="E277" s="264"/>
      <c r="F277" s="262"/>
      <c r="G277" s="262"/>
      <c r="H277" s="262"/>
      <c r="I277" s="267"/>
      <c r="J277" s="262"/>
      <c r="K277" s="264"/>
      <c r="L277" s="264"/>
      <c r="M277" s="264"/>
      <c r="N277" s="264"/>
      <c r="O277" s="269"/>
      <c r="P277" s="264"/>
      <c r="Q277" s="263"/>
      <c r="R277" s="264"/>
      <c r="S277" s="267"/>
      <c r="T277" s="267"/>
      <c r="U277" s="267"/>
      <c r="V277" s="262"/>
      <c r="W277" s="262"/>
      <c r="AD277" s="274"/>
      <c r="AE277" s="275"/>
      <c r="AF277" s="275"/>
      <c r="AG277" s="275"/>
      <c r="AH277" s="275"/>
      <c r="AI277" s="275"/>
      <c r="AJ277" s="275"/>
      <c r="AK277" s="275"/>
      <c r="AL277" s="275"/>
      <c r="AM277" s="275"/>
      <c r="AN277" s="275"/>
      <c r="AO277" s="275"/>
      <c r="AP277" s="275"/>
      <c r="AQ277" s="263"/>
      <c r="AR277" s="277"/>
      <c r="AS277" s="264"/>
      <c r="AT277" s="262"/>
    </row>
    <row r="278" ht="14.25" customHeight="1" spans="2:46">
      <c r="B278" s="262"/>
      <c r="C278" s="263"/>
      <c r="D278" s="264"/>
      <c r="E278" s="264"/>
      <c r="F278" s="262"/>
      <c r="G278" s="262"/>
      <c r="H278" s="262"/>
      <c r="I278" s="267"/>
      <c r="J278" s="262"/>
      <c r="K278" s="264"/>
      <c r="L278" s="264"/>
      <c r="M278" s="264"/>
      <c r="N278" s="264"/>
      <c r="O278" s="269"/>
      <c r="P278" s="264"/>
      <c r="Q278" s="263"/>
      <c r="R278" s="264"/>
      <c r="S278" s="267"/>
      <c r="T278" s="267"/>
      <c r="U278" s="267"/>
      <c r="V278" s="262"/>
      <c r="W278" s="262"/>
      <c r="AD278" s="274"/>
      <c r="AE278" s="275"/>
      <c r="AF278" s="275"/>
      <c r="AG278" s="275"/>
      <c r="AH278" s="275"/>
      <c r="AI278" s="275"/>
      <c r="AJ278" s="275"/>
      <c r="AK278" s="275"/>
      <c r="AL278" s="275"/>
      <c r="AM278" s="275"/>
      <c r="AN278" s="275"/>
      <c r="AO278" s="275"/>
      <c r="AP278" s="275"/>
      <c r="AQ278" s="263"/>
      <c r="AR278" s="277"/>
      <c r="AS278" s="264"/>
      <c r="AT278" s="262"/>
    </row>
    <row r="279" ht="14.25" customHeight="1" spans="2:46">
      <c r="B279" s="262"/>
      <c r="C279" s="263"/>
      <c r="D279" s="264"/>
      <c r="E279" s="264"/>
      <c r="F279" s="262"/>
      <c r="G279" s="262"/>
      <c r="H279" s="262"/>
      <c r="I279" s="267"/>
      <c r="J279" s="262"/>
      <c r="K279" s="264"/>
      <c r="L279" s="264"/>
      <c r="M279" s="264"/>
      <c r="N279" s="264"/>
      <c r="O279" s="269"/>
      <c r="P279" s="264"/>
      <c r="Q279" s="263"/>
      <c r="R279" s="264"/>
      <c r="S279" s="267"/>
      <c r="T279" s="267"/>
      <c r="U279" s="267"/>
      <c r="V279" s="262"/>
      <c r="W279" s="262"/>
      <c r="AD279" s="274"/>
      <c r="AE279" s="275"/>
      <c r="AF279" s="275"/>
      <c r="AG279" s="275"/>
      <c r="AH279" s="275"/>
      <c r="AI279" s="275"/>
      <c r="AJ279" s="275"/>
      <c r="AK279" s="275"/>
      <c r="AL279" s="275"/>
      <c r="AM279" s="275"/>
      <c r="AN279" s="275"/>
      <c r="AO279" s="275"/>
      <c r="AP279" s="275"/>
      <c r="AQ279" s="263"/>
      <c r="AR279" s="277"/>
      <c r="AS279" s="264"/>
      <c r="AT279" s="262"/>
    </row>
    <row r="280" ht="14.25" customHeight="1" spans="2:46">
      <c r="B280" s="262"/>
      <c r="C280" s="263"/>
      <c r="D280" s="264"/>
      <c r="E280" s="264"/>
      <c r="F280" s="262"/>
      <c r="G280" s="262"/>
      <c r="H280" s="262"/>
      <c r="I280" s="267"/>
      <c r="J280" s="262"/>
      <c r="K280" s="264"/>
      <c r="L280" s="264"/>
      <c r="M280" s="264"/>
      <c r="N280" s="264"/>
      <c r="O280" s="269"/>
      <c r="P280" s="264"/>
      <c r="Q280" s="263"/>
      <c r="R280" s="264"/>
      <c r="S280" s="267"/>
      <c r="T280" s="267"/>
      <c r="U280" s="267"/>
      <c r="V280" s="262"/>
      <c r="W280" s="262"/>
      <c r="AD280" s="274"/>
      <c r="AE280" s="275"/>
      <c r="AF280" s="275"/>
      <c r="AG280" s="275"/>
      <c r="AH280" s="275"/>
      <c r="AI280" s="275"/>
      <c r="AJ280" s="275"/>
      <c r="AK280" s="275"/>
      <c r="AL280" s="275"/>
      <c r="AM280" s="275"/>
      <c r="AN280" s="275"/>
      <c r="AO280" s="275"/>
      <c r="AP280" s="275"/>
      <c r="AQ280" s="263"/>
      <c r="AR280" s="277"/>
      <c r="AS280" s="264"/>
      <c r="AT280" s="262"/>
    </row>
    <row r="281" ht="14.25" customHeight="1" spans="2:46">
      <c r="B281" s="262"/>
      <c r="C281" s="263"/>
      <c r="D281" s="264"/>
      <c r="E281" s="264"/>
      <c r="F281" s="262"/>
      <c r="G281" s="262"/>
      <c r="H281" s="262"/>
      <c r="I281" s="267"/>
      <c r="J281" s="262"/>
      <c r="K281" s="264"/>
      <c r="L281" s="264"/>
      <c r="M281" s="264"/>
      <c r="N281" s="264"/>
      <c r="O281" s="269"/>
      <c r="P281" s="264"/>
      <c r="Q281" s="263"/>
      <c r="R281" s="264"/>
      <c r="S281" s="267"/>
      <c r="T281" s="267"/>
      <c r="U281" s="267"/>
      <c r="V281" s="262"/>
      <c r="W281" s="262"/>
      <c r="AD281" s="274"/>
      <c r="AE281" s="275"/>
      <c r="AF281" s="275"/>
      <c r="AG281" s="275"/>
      <c r="AH281" s="275"/>
      <c r="AI281" s="275"/>
      <c r="AJ281" s="275"/>
      <c r="AK281" s="275"/>
      <c r="AL281" s="275"/>
      <c r="AM281" s="275"/>
      <c r="AN281" s="275"/>
      <c r="AO281" s="275"/>
      <c r="AP281" s="275"/>
      <c r="AQ281" s="263"/>
      <c r="AR281" s="277"/>
      <c r="AS281" s="264"/>
      <c r="AT281" s="262"/>
    </row>
    <row r="282" ht="14.25" customHeight="1" spans="2:46">
      <c r="B282" s="262"/>
      <c r="C282" s="263"/>
      <c r="D282" s="264"/>
      <c r="E282" s="264"/>
      <c r="F282" s="262"/>
      <c r="G282" s="262"/>
      <c r="H282" s="262"/>
      <c r="I282" s="267"/>
      <c r="J282" s="262"/>
      <c r="K282" s="264"/>
      <c r="L282" s="264"/>
      <c r="M282" s="264"/>
      <c r="N282" s="264"/>
      <c r="O282" s="269"/>
      <c r="P282" s="264"/>
      <c r="Q282" s="263"/>
      <c r="R282" s="264"/>
      <c r="S282" s="267"/>
      <c r="T282" s="267"/>
      <c r="U282" s="267"/>
      <c r="V282" s="262"/>
      <c r="W282" s="262"/>
      <c r="AD282" s="274"/>
      <c r="AE282" s="275"/>
      <c r="AF282" s="275"/>
      <c r="AG282" s="275"/>
      <c r="AH282" s="275"/>
      <c r="AI282" s="275"/>
      <c r="AJ282" s="275"/>
      <c r="AK282" s="275"/>
      <c r="AL282" s="275"/>
      <c r="AM282" s="275"/>
      <c r="AN282" s="275"/>
      <c r="AO282" s="275"/>
      <c r="AP282" s="275"/>
      <c r="AQ282" s="263"/>
      <c r="AR282" s="277"/>
      <c r="AS282" s="264"/>
      <c r="AT282" s="262"/>
    </row>
    <row r="283" ht="14.25" customHeight="1" spans="2:46">
      <c r="B283" s="262"/>
      <c r="C283" s="263"/>
      <c r="D283" s="264"/>
      <c r="E283" s="264"/>
      <c r="F283" s="262"/>
      <c r="G283" s="262"/>
      <c r="H283" s="262"/>
      <c r="I283" s="267"/>
      <c r="J283" s="262"/>
      <c r="K283" s="264"/>
      <c r="L283" s="264"/>
      <c r="M283" s="264"/>
      <c r="N283" s="264"/>
      <c r="O283" s="269"/>
      <c r="P283" s="264"/>
      <c r="Q283" s="263"/>
      <c r="R283" s="264"/>
      <c r="S283" s="267"/>
      <c r="T283" s="267"/>
      <c r="U283" s="267"/>
      <c r="V283" s="262"/>
      <c r="W283" s="262"/>
      <c r="AD283" s="274"/>
      <c r="AE283" s="275"/>
      <c r="AF283" s="275"/>
      <c r="AG283" s="275"/>
      <c r="AH283" s="275"/>
      <c r="AI283" s="275"/>
      <c r="AJ283" s="275"/>
      <c r="AK283" s="275"/>
      <c r="AL283" s="275"/>
      <c r="AM283" s="275"/>
      <c r="AN283" s="275"/>
      <c r="AO283" s="275"/>
      <c r="AP283" s="275"/>
      <c r="AQ283" s="263"/>
      <c r="AR283" s="277"/>
      <c r="AS283" s="264"/>
      <c r="AT283" s="262"/>
    </row>
    <row r="284" ht="14.25" customHeight="1" spans="2:46">
      <c r="B284" s="262"/>
      <c r="C284" s="263"/>
      <c r="D284" s="264"/>
      <c r="E284" s="264"/>
      <c r="F284" s="262"/>
      <c r="G284" s="262"/>
      <c r="H284" s="262"/>
      <c r="I284" s="267"/>
      <c r="J284" s="262"/>
      <c r="K284" s="264"/>
      <c r="L284" s="264"/>
      <c r="M284" s="264"/>
      <c r="N284" s="264"/>
      <c r="O284" s="269"/>
      <c r="P284" s="264"/>
      <c r="Q284" s="263"/>
      <c r="R284" s="264"/>
      <c r="S284" s="267"/>
      <c r="T284" s="267"/>
      <c r="U284" s="267"/>
      <c r="V284" s="262"/>
      <c r="W284" s="262"/>
      <c r="AD284" s="274"/>
      <c r="AE284" s="275"/>
      <c r="AF284" s="275"/>
      <c r="AG284" s="275"/>
      <c r="AH284" s="275"/>
      <c r="AI284" s="275"/>
      <c r="AJ284" s="275"/>
      <c r="AK284" s="275"/>
      <c r="AL284" s="275"/>
      <c r="AM284" s="275"/>
      <c r="AN284" s="275"/>
      <c r="AO284" s="275"/>
      <c r="AP284" s="275"/>
      <c r="AQ284" s="263"/>
      <c r="AR284" s="277"/>
      <c r="AS284" s="264"/>
      <c r="AT284" s="262"/>
    </row>
    <row r="285" ht="14.25" customHeight="1" spans="2:46">
      <c r="B285" s="262"/>
      <c r="C285" s="263"/>
      <c r="D285" s="264"/>
      <c r="E285" s="264"/>
      <c r="F285" s="262"/>
      <c r="G285" s="262"/>
      <c r="H285" s="262"/>
      <c r="I285" s="267"/>
      <c r="J285" s="262"/>
      <c r="K285" s="264"/>
      <c r="L285" s="264"/>
      <c r="M285" s="264"/>
      <c r="N285" s="264"/>
      <c r="O285" s="269"/>
      <c r="P285" s="264"/>
      <c r="Q285" s="263"/>
      <c r="R285" s="264"/>
      <c r="S285" s="267"/>
      <c r="T285" s="267"/>
      <c r="U285" s="267"/>
      <c r="V285" s="262"/>
      <c r="W285" s="262"/>
      <c r="AD285" s="274"/>
      <c r="AE285" s="275"/>
      <c r="AF285" s="275"/>
      <c r="AG285" s="275"/>
      <c r="AH285" s="275"/>
      <c r="AI285" s="275"/>
      <c r="AJ285" s="275"/>
      <c r="AK285" s="275"/>
      <c r="AL285" s="275"/>
      <c r="AM285" s="275"/>
      <c r="AN285" s="275"/>
      <c r="AO285" s="275"/>
      <c r="AP285" s="275"/>
      <c r="AQ285" s="263"/>
      <c r="AR285" s="277"/>
      <c r="AS285" s="264"/>
      <c r="AT285" s="262"/>
    </row>
    <row r="286" ht="14.25" customHeight="1" spans="2:46">
      <c r="B286" s="262"/>
      <c r="C286" s="263"/>
      <c r="D286" s="264"/>
      <c r="E286" s="264"/>
      <c r="F286" s="262"/>
      <c r="G286" s="262"/>
      <c r="H286" s="262"/>
      <c r="I286" s="267"/>
      <c r="J286" s="262"/>
      <c r="K286" s="264"/>
      <c r="L286" s="264"/>
      <c r="M286" s="264"/>
      <c r="N286" s="264"/>
      <c r="O286" s="269"/>
      <c r="P286" s="264"/>
      <c r="Q286" s="263"/>
      <c r="R286" s="264"/>
      <c r="S286" s="267"/>
      <c r="T286" s="267"/>
      <c r="U286" s="267"/>
      <c r="V286" s="262"/>
      <c r="W286" s="262"/>
      <c r="AD286" s="274"/>
      <c r="AE286" s="275"/>
      <c r="AF286" s="275"/>
      <c r="AG286" s="275"/>
      <c r="AH286" s="275"/>
      <c r="AI286" s="275"/>
      <c r="AJ286" s="275"/>
      <c r="AK286" s="275"/>
      <c r="AL286" s="275"/>
      <c r="AM286" s="275"/>
      <c r="AN286" s="275"/>
      <c r="AO286" s="275"/>
      <c r="AP286" s="275"/>
      <c r="AQ286" s="263"/>
      <c r="AR286" s="277"/>
      <c r="AS286" s="264"/>
      <c r="AT286" s="262"/>
    </row>
    <row r="287" ht="14.25" customHeight="1" spans="2:46">
      <c r="B287" s="262"/>
      <c r="C287" s="263"/>
      <c r="D287" s="264"/>
      <c r="E287" s="264"/>
      <c r="F287" s="262"/>
      <c r="G287" s="262"/>
      <c r="H287" s="262"/>
      <c r="I287" s="267"/>
      <c r="J287" s="262"/>
      <c r="K287" s="264"/>
      <c r="L287" s="264"/>
      <c r="M287" s="264"/>
      <c r="N287" s="264"/>
      <c r="O287" s="269"/>
      <c r="P287" s="264"/>
      <c r="Q287" s="263"/>
      <c r="R287" s="264"/>
      <c r="S287" s="267"/>
      <c r="T287" s="267"/>
      <c r="U287" s="267"/>
      <c r="V287" s="262"/>
      <c r="W287" s="262"/>
      <c r="AD287" s="274"/>
      <c r="AE287" s="275"/>
      <c r="AF287" s="275"/>
      <c r="AG287" s="275"/>
      <c r="AH287" s="275"/>
      <c r="AI287" s="275"/>
      <c r="AJ287" s="275"/>
      <c r="AK287" s="275"/>
      <c r="AL287" s="275"/>
      <c r="AM287" s="275"/>
      <c r="AN287" s="275"/>
      <c r="AO287" s="275"/>
      <c r="AP287" s="275"/>
      <c r="AQ287" s="263"/>
      <c r="AR287" s="277"/>
      <c r="AS287" s="264"/>
      <c r="AT287" s="262"/>
    </row>
    <row r="288" ht="14.25" customHeight="1" spans="2:46">
      <c r="B288" s="262"/>
      <c r="C288" s="263"/>
      <c r="D288" s="264"/>
      <c r="E288" s="264"/>
      <c r="F288" s="262"/>
      <c r="G288" s="262"/>
      <c r="H288" s="262"/>
      <c r="I288" s="267"/>
      <c r="J288" s="262"/>
      <c r="K288" s="264"/>
      <c r="L288" s="264"/>
      <c r="M288" s="264"/>
      <c r="N288" s="264"/>
      <c r="O288" s="269"/>
      <c r="P288" s="264"/>
      <c r="Q288" s="263"/>
      <c r="R288" s="264"/>
      <c r="S288" s="267"/>
      <c r="T288" s="267"/>
      <c r="U288" s="267"/>
      <c r="V288" s="262"/>
      <c r="W288" s="262"/>
      <c r="AD288" s="274"/>
      <c r="AE288" s="275"/>
      <c r="AF288" s="275"/>
      <c r="AG288" s="275"/>
      <c r="AH288" s="275"/>
      <c r="AI288" s="275"/>
      <c r="AJ288" s="275"/>
      <c r="AK288" s="275"/>
      <c r="AL288" s="275"/>
      <c r="AM288" s="275"/>
      <c r="AN288" s="275"/>
      <c r="AO288" s="275"/>
      <c r="AP288" s="275"/>
      <c r="AQ288" s="263"/>
      <c r="AR288" s="277"/>
      <c r="AS288" s="264"/>
      <c r="AT288" s="262"/>
    </row>
    <row r="289" ht="14.25" customHeight="1" spans="2:46">
      <c r="B289" s="262"/>
      <c r="C289" s="263"/>
      <c r="D289" s="264"/>
      <c r="E289" s="264"/>
      <c r="F289" s="262"/>
      <c r="G289" s="262"/>
      <c r="H289" s="262"/>
      <c r="I289" s="267"/>
      <c r="J289" s="262"/>
      <c r="K289" s="264"/>
      <c r="L289" s="264"/>
      <c r="M289" s="264"/>
      <c r="N289" s="264"/>
      <c r="O289" s="269"/>
      <c r="P289" s="264"/>
      <c r="Q289" s="263"/>
      <c r="R289" s="264"/>
      <c r="S289" s="267"/>
      <c r="T289" s="267"/>
      <c r="U289" s="267"/>
      <c r="V289" s="262"/>
      <c r="W289" s="262"/>
      <c r="AD289" s="274"/>
      <c r="AE289" s="275"/>
      <c r="AF289" s="275"/>
      <c r="AG289" s="275"/>
      <c r="AH289" s="275"/>
      <c r="AI289" s="275"/>
      <c r="AJ289" s="275"/>
      <c r="AK289" s="275"/>
      <c r="AL289" s="275"/>
      <c r="AM289" s="275"/>
      <c r="AN289" s="275"/>
      <c r="AO289" s="275"/>
      <c r="AP289" s="275"/>
      <c r="AQ289" s="263"/>
      <c r="AR289" s="277"/>
      <c r="AS289" s="264"/>
      <c r="AT289" s="262"/>
    </row>
    <row r="290" ht="14.25" customHeight="1" spans="2:46">
      <c r="B290" s="262"/>
      <c r="C290" s="263"/>
      <c r="D290" s="264"/>
      <c r="E290" s="264"/>
      <c r="F290" s="262"/>
      <c r="G290" s="262"/>
      <c r="H290" s="262"/>
      <c r="I290" s="267"/>
      <c r="J290" s="262"/>
      <c r="K290" s="264"/>
      <c r="L290" s="264"/>
      <c r="M290" s="264"/>
      <c r="N290" s="264"/>
      <c r="O290" s="269"/>
      <c r="P290" s="264"/>
      <c r="Q290" s="263"/>
      <c r="R290" s="264"/>
      <c r="S290" s="267"/>
      <c r="T290" s="267"/>
      <c r="U290" s="267"/>
      <c r="V290" s="262"/>
      <c r="W290" s="262"/>
      <c r="AD290" s="274"/>
      <c r="AE290" s="275"/>
      <c r="AF290" s="275"/>
      <c r="AG290" s="275"/>
      <c r="AH290" s="275"/>
      <c r="AI290" s="275"/>
      <c r="AJ290" s="275"/>
      <c r="AK290" s="275"/>
      <c r="AL290" s="275"/>
      <c r="AM290" s="275"/>
      <c r="AN290" s="275"/>
      <c r="AO290" s="275"/>
      <c r="AP290" s="275"/>
      <c r="AQ290" s="263"/>
      <c r="AR290" s="277"/>
      <c r="AS290" s="264"/>
      <c r="AT290" s="262"/>
    </row>
    <row r="291" ht="14.25" customHeight="1" spans="2:46">
      <c r="B291" s="262"/>
      <c r="C291" s="263"/>
      <c r="D291" s="264"/>
      <c r="E291" s="264"/>
      <c r="F291" s="262"/>
      <c r="G291" s="262"/>
      <c r="H291" s="262"/>
      <c r="I291" s="267"/>
      <c r="J291" s="262"/>
      <c r="K291" s="264"/>
      <c r="L291" s="264"/>
      <c r="M291" s="264"/>
      <c r="N291" s="264"/>
      <c r="O291" s="269"/>
      <c r="P291" s="264"/>
      <c r="Q291" s="263"/>
      <c r="R291" s="264"/>
      <c r="S291" s="267"/>
      <c r="T291" s="267"/>
      <c r="U291" s="267"/>
      <c r="V291" s="262"/>
      <c r="W291" s="262"/>
      <c r="AD291" s="274"/>
      <c r="AE291" s="275"/>
      <c r="AF291" s="275"/>
      <c r="AG291" s="275"/>
      <c r="AH291" s="275"/>
      <c r="AI291" s="275"/>
      <c r="AJ291" s="275"/>
      <c r="AK291" s="275"/>
      <c r="AL291" s="275"/>
      <c r="AM291" s="275"/>
      <c r="AN291" s="275"/>
      <c r="AO291" s="275"/>
      <c r="AP291" s="275"/>
      <c r="AQ291" s="263"/>
      <c r="AR291" s="277"/>
      <c r="AS291" s="264"/>
      <c r="AT291" s="262"/>
    </row>
    <row r="292" ht="14.25" customHeight="1" spans="2:46">
      <c r="B292" s="262"/>
      <c r="C292" s="263"/>
      <c r="D292" s="264"/>
      <c r="E292" s="264"/>
      <c r="F292" s="262"/>
      <c r="G292" s="262"/>
      <c r="H292" s="262"/>
      <c r="I292" s="267"/>
      <c r="J292" s="262"/>
      <c r="K292" s="264"/>
      <c r="L292" s="264"/>
      <c r="M292" s="264"/>
      <c r="N292" s="264"/>
      <c r="O292" s="269"/>
      <c r="P292" s="264"/>
      <c r="Q292" s="263"/>
      <c r="R292" s="264"/>
      <c r="S292" s="267"/>
      <c r="T292" s="267"/>
      <c r="U292" s="267"/>
      <c r="V292" s="262"/>
      <c r="W292" s="262"/>
      <c r="AD292" s="274"/>
      <c r="AE292" s="275"/>
      <c r="AF292" s="275"/>
      <c r="AG292" s="275"/>
      <c r="AH292" s="275"/>
      <c r="AI292" s="275"/>
      <c r="AJ292" s="275"/>
      <c r="AK292" s="275"/>
      <c r="AL292" s="275"/>
      <c r="AM292" s="275"/>
      <c r="AN292" s="275"/>
      <c r="AO292" s="275"/>
      <c r="AP292" s="275"/>
      <c r="AQ292" s="263"/>
      <c r="AR292" s="277"/>
      <c r="AS292" s="264"/>
      <c r="AT292" s="262"/>
    </row>
    <row r="293" ht="14.25" customHeight="1" spans="2:46">
      <c r="B293" s="262"/>
      <c r="C293" s="263"/>
      <c r="D293" s="264"/>
      <c r="E293" s="264"/>
      <c r="F293" s="262"/>
      <c r="G293" s="262"/>
      <c r="H293" s="262"/>
      <c r="I293" s="267"/>
      <c r="J293" s="262"/>
      <c r="K293" s="264"/>
      <c r="L293" s="264"/>
      <c r="M293" s="264"/>
      <c r="N293" s="264"/>
      <c r="O293" s="269"/>
      <c r="P293" s="264"/>
      <c r="Q293" s="263"/>
      <c r="R293" s="264"/>
      <c r="S293" s="267"/>
      <c r="T293" s="267"/>
      <c r="U293" s="267"/>
      <c r="V293" s="262"/>
      <c r="W293" s="262"/>
      <c r="AD293" s="274"/>
      <c r="AE293" s="275"/>
      <c r="AF293" s="275"/>
      <c r="AG293" s="275"/>
      <c r="AH293" s="275"/>
      <c r="AI293" s="275"/>
      <c r="AJ293" s="275"/>
      <c r="AK293" s="275"/>
      <c r="AL293" s="275"/>
      <c r="AM293" s="275"/>
      <c r="AN293" s="275"/>
      <c r="AO293" s="275"/>
      <c r="AP293" s="275"/>
      <c r="AQ293" s="263"/>
      <c r="AR293" s="277"/>
      <c r="AS293" s="264"/>
      <c r="AT293" s="262"/>
    </row>
    <row r="294" ht="14.25" customHeight="1" spans="2:46">
      <c r="B294" s="262"/>
      <c r="C294" s="263"/>
      <c r="D294" s="264"/>
      <c r="E294" s="264"/>
      <c r="F294" s="262"/>
      <c r="G294" s="262"/>
      <c r="H294" s="262"/>
      <c r="I294" s="267"/>
      <c r="J294" s="262"/>
      <c r="K294" s="264"/>
      <c r="L294" s="264"/>
      <c r="M294" s="264"/>
      <c r="N294" s="264"/>
      <c r="O294" s="269"/>
      <c r="P294" s="264"/>
      <c r="Q294" s="263"/>
      <c r="R294" s="264"/>
      <c r="S294" s="267"/>
      <c r="T294" s="267"/>
      <c r="U294" s="267"/>
      <c r="V294" s="262"/>
      <c r="W294" s="262"/>
      <c r="AD294" s="274"/>
      <c r="AE294" s="275"/>
      <c r="AF294" s="275"/>
      <c r="AG294" s="275"/>
      <c r="AH294" s="275"/>
      <c r="AI294" s="275"/>
      <c r="AJ294" s="275"/>
      <c r="AK294" s="275"/>
      <c r="AL294" s="275"/>
      <c r="AM294" s="275"/>
      <c r="AN294" s="275"/>
      <c r="AO294" s="275"/>
      <c r="AP294" s="275"/>
      <c r="AQ294" s="263"/>
      <c r="AR294" s="277"/>
      <c r="AS294" s="264"/>
      <c r="AT294" s="262"/>
    </row>
    <row r="295" ht="14.25" customHeight="1" spans="2:46">
      <c r="B295" s="262"/>
      <c r="C295" s="263"/>
      <c r="D295" s="264"/>
      <c r="E295" s="264"/>
      <c r="F295" s="262"/>
      <c r="G295" s="262"/>
      <c r="H295" s="262"/>
      <c r="I295" s="267"/>
      <c r="J295" s="262"/>
      <c r="K295" s="264"/>
      <c r="L295" s="264"/>
      <c r="M295" s="264"/>
      <c r="N295" s="264"/>
      <c r="O295" s="269"/>
      <c r="P295" s="264"/>
      <c r="Q295" s="263"/>
      <c r="R295" s="264"/>
      <c r="S295" s="267"/>
      <c r="T295" s="267"/>
      <c r="U295" s="267"/>
      <c r="V295" s="262"/>
      <c r="W295" s="262"/>
      <c r="AD295" s="274"/>
      <c r="AE295" s="275"/>
      <c r="AF295" s="275"/>
      <c r="AG295" s="275"/>
      <c r="AH295" s="275"/>
      <c r="AI295" s="275"/>
      <c r="AJ295" s="275"/>
      <c r="AK295" s="275"/>
      <c r="AL295" s="275"/>
      <c r="AM295" s="275"/>
      <c r="AN295" s="275"/>
      <c r="AO295" s="275"/>
      <c r="AP295" s="275"/>
      <c r="AQ295" s="263"/>
      <c r="AR295" s="277"/>
      <c r="AS295" s="264"/>
      <c r="AT295" s="262"/>
    </row>
    <row r="296" ht="14.25" customHeight="1" spans="2:46">
      <c r="B296" s="262"/>
      <c r="C296" s="263"/>
      <c r="D296" s="264"/>
      <c r="E296" s="264"/>
      <c r="F296" s="262"/>
      <c r="G296" s="262"/>
      <c r="H296" s="262"/>
      <c r="I296" s="267"/>
      <c r="J296" s="262"/>
      <c r="K296" s="264"/>
      <c r="L296" s="264"/>
      <c r="M296" s="264"/>
      <c r="N296" s="264"/>
      <c r="O296" s="269"/>
      <c r="P296" s="264"/>
      <c r="Q296" s="263"/>
      <c r="R296" s="264"/>
      <c r="S296" s="267"/>
      <c r="T296" s="267"/>
      <c r="U296" s="267"/>
      <c r="V296" s="262"/>
      <c r="W296" s="262"/>
      <c r="AD296" s="274"/>
      <c r="AE296" s="275"/>
      <c r="AF296" s="275"/>
      <c r="AG296" s="275"/>
      <c r="AH296" s="275"/>
      <c r="AI296" s="275"/>
      <c r="AJ296" s="275"/>
      <c r="AK296" s="275"/>
      <c r="AL296" s="275"/>
      <c r="AM296" s="275"/>
      <c r="AN296" s="275"/>
      <c r="AO296" s="275"/>
      <c r="AP296" s="275"/>
      <c r="AQ296" s="263"/>
      <c r="AR296" s="277"/>
      <c r="AS296" s="264"/>
      <c r="AT296" s="262"/>
    </row>
    <row r="297" ht="14.25" customHeight="1" spans="2:46">
      <c r="B297" s="262"/>
      <c r="C297" s="263"/>
      <c r="D297" s="264"/>
      <c r="E297" s="264"/>
      <c r="F297" s="262"/>
      <c r="G297" s="262"/>
      <c r="H297" s="262"/>
      <c r="I297" s="267"/>
      <c r="J297" s="262"/>
      <c r="K297" s="264"/>
      <c r="L297" s="264"/>
      <c r="M297" s="264"/>
      <c r="N297" s="264"/>
      <c r="O297" s="269"/>
      <c r="P297" s="264"/>
      <c r="Q297" s="263"/>
      <c r="R297" s="264"/>
      <c r="S297" s="267"/>
      <c r="T297" s="267"/>
      <c r="U297" s="267"/>
      <c r="V297" s="262"/>
      <c r="W297" s="262"/>
      <c r="AD297" s="274"/>
      <c r="AE297" s="275"/>
      <c r="AF297" s="275"/>
      <c r="AG297" s="275"/>
      <c r="AH297" s="275"/>
      <c r="AI297" s="275"/>
      <c r="AJ297" s="275"/>
      <c r="AK297" s="275"/>
      <c r="AL297" s="275"/>
      <c r="AM297" s="275"/>
      <c r="AN297" s="275"/>
      <c r="AO297" s="275"/>
      <c r="AP297" s="275"/>
      <c r="AQ297" s="263"/>
      <c r="AR297" s="277"/>
      <c r="AS297" s="264"/>
      <c r="AT297" s="262"/>
    </row>
    <row r="298" ht="14.25" customHeight="1" spans="2:46">
      <c r="B298" s="262"/>
      <c r="C298" s="263"/>
      <c r="D298" s="264"/>
      <c r="E298" s="264"/>
      <c r="F298" s="262"/>
      <c r="G298" s="262"/>
      <c r="H298" s="262"/>
      <c r="I298" s="267"/>
      <c r="J298" s="262"/>
      <c r="K298" s="264"/>
      <c r="L298" s="264"/>
      <c r="M298" s="264"/>
      <c r="N298" s="264"/>
      <c r="O298" s="269"/>
      <c r="P298" s="264"/>
      <c r="Q298" s="263"/>
      <c r="R298" s="264"/>
      <c r="S298" s="267"/>
      <c r="T298" s="267"/>
      <c r="U298" s="267"/>
      <c r="V298" s="262"/>
      <c r="W298" s="262"/>
      <c r="AD298" s="274"/>
      <c r="AE298" s="275"/>
      <c r="AF298" s="275"/>
      <c r="AG298" s="275"/>
      <c r="AH298" s="275"/>
      <c r="AI298" s="275"/>
      <c r="AJ298" s="275"/>
      <c r="AK298" s="275"/>
      <c r="AL298" s="275"/>
      <c r="AM298" s="275"/>
      <c r="AN298" s="275"/>
      <c r="AO298" s="275"/>
      <c r="AP298" s="275"/>
      <c r="AQ298" s="263"/>
      <c r="AR298" s="277"/>
      <c r="AS298" s="264"/>
      <c r="AT298" s="262"/>
    </row>
    <row r="299" ht="14.25" customHeight="1" spans="2:46">
      <c r="B299" s="262"/>
      <c r="C299" s="263"/>
      <c r="D299" s="264"/>
      <c r="E299" s="264"/>
      <c r="F299" s="262"/>
      <c r="G299" s="262"/>
      <c r="H299" s="262"/>
      <c r="I299" s="267"/>
      <c r="J299" s="262"/>
      <c r="K299" s="264"/>
      <c r="L299" s="264"/>
      <c r="M299" s="264"/>
      <c r="N299" s="264"/>
      <c r="O299" s="269"/>
      <c r="P299" s="264"/>
      <c r="Q299" s="263"/>
      <c r="R299" s="264"/>
      <c r="S299" s="267"/>
      <c r="T299" s="267"/>
      <c r="U299" s="267"/>
      <c r="V299" s="262"/>
      <c r="W299" s="262"/>
      <c r="AD299" s="274"/>
      <c r="AE299" s="275"/>
      <c r="AF299" s="275"/>
      <c r="AG299" s="275"/>
      <c r="AH299" s="275"/>
      <c r="AI299" s="275"/>
      <c r="AJ299" s="275"/>
      <c r="AK299" s="275"/>
      <c r="AL299" s="275"/>
      <c r="AM299" s="275"/>
      <c r="AN299" s="275"/>
      <c r="AO299" s="275"/>
      <c r="AP299" s="275"/>
      <c r="AQ299" s="263"/>
      <c r="AR299" s="277"/>
      <c r="AS299" s="264"/>
      <c r="AT299" s="262"/>
    </row>
    <row r="300" ht="14.25" customHeight="1" spans="2:46">
      <c r="B300" s="262"/>
      <c r="C300" s="263"/>
      <c r="D300" s="264"/>
      <c r="E300" s="264"/>
      <c r="F300" s="262"/>
      <c r="G300" s="262"/>
      <c r="H300" s="262"/>
      <c r="I300" s="267"/>
      <c r="J300" s="262"/>
      <c r="K300" s="264"/>
      <c r="L300" s="264"/>
      <c r="M300" s="264"/>
      <c r="N300" s="264"/>
      <c r="O300" s="269"/>
      <c r="P300" s="264"/>
      <c r="Q300" s="263"/>
      <c r="R300" s="264"/>
      <c r="S300" s="267"/>
      <c r="T300" s="267"/>
      <c r="U300" s="267"/>
      <c r="V300" s="262"/>
      <c r="W300" s="262"/>
      <c r="AD300" s="274"/>
      <c r="AE300" s="275"/>
      <c r="AF300" s="275"/>
      <c r="AG300" s="275"/>
      <c r="AH300" s="275"/>
      <c r="AI300" s="275"/>
      <c r="AJ300" s="275"/>
      <c r="AK300" s="275"/>
      <c r="AL300" s="275"/>
      <c r="AM300" s="275"/>
      <c r="AN300" s="275"/>
      <c r="AO300" s="275"/>
      <c r="AP300" s="275"/>
      <c r="AQ300" s="263"/>
      <c r="AR300" s="277"/>
      <c r="AS300" s="264"/>
      <c r="AT300" s="262"/>
    </row>
    <row r="301" ht="14.25" customHeight="1" spans="2:46">
      <c r="B301" s="262"/>
      <c r="C301" s="263"/>
      <c r="D301" s="264"/>
      <c r="E301" s="264"/>
      <c r="F301" s="262"/>
      <c r="G301" s="262"/>
      <c r="H301" s="262"/>
      <c r="I301" s="267"/>
      <c r="J301" s="262"/>
      <c r="K301" s="264"/>
      <c r="L301" s="264"/>
      <c r="M301" s="264"/>
      <c r="N301" s="264"/>
      <c r="O301" s="269"/>
      <c r="P301" s="264"/>
      <c r="Q301" s="263"/>
      <c r="R301" s="264"/>
      <c r="S301" s="267"/>
      <c r="T301" s="267"/>
      <c r="U301" s="267"/>
      <c r="V301" s="262"/>
      <c r="W301" s="262"/>
      <c r="AD301" s="274"/>
      <c r="AE301" s="275"/>
      <c r="AF301" s="275"/>
      <c r="AG301" s="275"/>
      <c r="AH301" s="275"/>
      <c r="AI301" s="275"/>
      <c r="AJ301" s="275"/>
      <c r="AK301" s="275"/>
      <c r="AL301" s="275"/>
      <c r="AM301" s="275"/>
      <c r="AN301" s="275"/>
      <c r="AO301" s="275"/>
      <c r="AP301" s="275"/>
      <c r="AQ301" s="263"/>
      <c r="AR301" s="277"/>
      <c r="AS301" s="264"/>
      <c r="AT301" s="262"/>
    </row>
    <row r="302" ht="14.25" customHeight="1" spans="2:46">
      <c r="B302" s="262"/>
      <c r="C302" s="263"/>
      <c r="D302" s="264"/>
      <c r="E302" s="264"/>
      <c r="F302" s="262"/>
      <c r="G302" s="262"/>
      <c r="H302" s="262"/>
      <c r="I302" s="267"/>
      <c r="J302" s="262"/>
      <c r="K302" s="264"/>
      <c r="L302" s="264"/>
      <c r="M302" s="264"/>
      <c r="N302" s="264"/>
      <c r="O302" s="269"/>
      <c r="P302" s="264"/>
      <c r="Q302" s="263"/>
      <c r="R302" s="264"/>
      <c r="S302" s="267"/>
      <c r="T302" s="267"/>
      <c r="U302" s="267"/>
      <c r="V302" s="262"/>
      <c r="W302" s="262"/>
      <c r="AD302" s="274"/>
      <c r="AE302" s="275"/>
      <c r="AF302" s="275"/>
      <c r="AG302" s="275"/>
      <c r="AH302" s="275"/>
      <c r="AI302" s="275"/>
      <c r="AJ302" s="275"/>
      <c r="AK302" s="275"/>
      <c r="AL302" s="275"/>
      <c r="AM302" s="275"/>
      <c r="AN302" s="275"/>
      <c r="AO302" s="275"/>
      <c r="AP302" s="275"/>
      <c r="AQ302" s="263"/>
      <c r="AR302" s="277"/>
      <c r="AS302" s="264"/>
      <c r="AT302" s="262"/>
    </row>
    <row r="303" ht="14.25" customHeight="1" spans="2:46">
      <c r="B303" s="262"/>
      <c r="C303" s="263"/>
      <c r="D303" s="264"/>
      <c r="E303" s="264"/>
      <c r="F303" s="262"/>
      <c r="G303" s="262"/>
      <c r="H303" s="262"/>
      <c r="I303" s="267"/>
      <c r="J303" s="262"/>
      <c r="K303" s="264"/>
      <c r="L303" s="264"/>
      <c r="M303" s="264"/>
      <c r="N303" s="264"/>
      <c r="O303" s="269"/>
      <c r="P303" s="264"/>
      <c r="Q303" s="263"/>
      <c r="R303" s="264"/>
      <c r="S303" s="267"/>
      <c r="T303" s="267"/>
      <c r="U303" s="267"/>
      <c r="V303" s="262"/>
      <c r="W303" s="262"/>
      <c r="AD303" s="274"/>
      <c r="AE303" s="275"/>
      <c r="AF303" s="275"/>
      <c r="AG303" s="275"/>
      <c r="AH303" s="275"/>
      <c r="AI303" s="275"/>
      <c r="AJ303" s="275"/>
      <c r="AK303" s="275"/>
      <c r="AL303" s="275"/>
      <c r="AM303" s="275"/>
      <c r="AN303" s="275"/>
      <c r="AO303" s="275"/>
      <c r="AP303" s="275"/>
      <c r="AQ303" s="263"/>
      <c r="AR303" s="277"/>
      <c r="AS303" s="264"/>
      <c r="AT303" s="262"/>
    </row>
    <row r="304" ht="14.25" customHeight="1" spans="2:46">
      <c r="B304" s="262"/>
      <c r="C304" s="263"/>
      <c r="D304" s="264"/>
      <c r="E304" s="264"/>
      <c r="F304" s="262"/>
      <c r="G304" s="262"/>
      <c r="H304" s="262"/>
      <c r="I304" s="267"/>
      <c r="J304" s="262"/>
      <c r="K304" s="264"/>
      <c r="L304" s="264"/>
      <c r="M304" s="264"/>
      <c r="N304" s="264"/>
      <c r="O304" s="269"/>
      <c r="P304" s="264"/>
      <c r="Q304" s="263"/>
      <c r="R304" s="264"/>
      <c r="S304" s="267"/>
      <c r="T304" s="267"/>
      <c r="U304" s="267"/>
      <c r="V304" s="262"/>
      <c r="W304" s="262"/>
      <c r="AD304" s="274"/>
      <c r="AE304" s="275"/>
      <c r="AF304" s="275"/>
      <c r="AG304" s="275"/>
      <c r="AH304" s="275"/>
      <c r="AI304" s="275"/>
      <c r="AJ304" s="275"/>
      <c r="AK304" s="275"/>
      <c r="AL304" s="275"/>
      <c r="AM304" s="275"/>
      <c r="AN304" s="275"/>
      <c r="AO304" s="275"/>
      <c r="AP304" s="275"/>
      <c r="AQ304" s="263"/>
      <c r="AR304" s="277"/>
      <c r="AS304" s="264"/>
      <c r="AT304" s="262"/>
    </row>
    <row r="305" ht="14.25" customHeight="1" spans="2:46">
      <c r="B305" s="262"/>
      <c r="C305" s="263"/>
      <c r="D305" s="264"/>
      <c r="E305" s="264"/>
      <c r="F305" s="262"/>
      <c r="G305" s="262"/>
      <c r="H305" s="262"/>
      <c r="I305" s="267"/>
      <c r="J305" s="262"/>
      <c r="K305" s="264"/>
      <c r="L305" s="264"/>
      <c r="M305" s="264"/>
      <c r="N305" s="264"/>
      <c r="O305" s="269"/>
      <c r="P305" s="264"/>
      <c r="Q305" s="263"/>
      <c r="R305" s="264"/>
      <c r="S305" s="267"/>
      <c r="T305" s="267"/>
      <c r="U305" s="267"/>
      <c r="V305" s="262"/>
      <c r="W305" s="262"/>
      <c r="AD305" s="274"/>
      <c r="AE305" s="275"/>
      <c r="AF305" s="275"/>
      <c r="AG305" s="275"/>
      <c r="AH305" s="275"/>
      <c r="AI305" s="275"/>
      <c r="AJ305" s="275"/>
      <c r="AK305" s="275"/>
      <c r="AL305" s="275"/>
      <c r="AM305" s="275"/>
      <c r="AN305" s="275"/>
      <c r="AO305" s="275"/>
      <c r="AP305" s="275"/>
      <c r="AQ305" s="263"/>
      <c r="AR305" s="277"/>
      <c r="AS305" s="264"/>
      <c r="AT305" s="262"/>
    </row>
    <row r="306" ht="14.25" customHeight="1" spans="2:46">
      <c r="B306" s="262"/>
      <c r="C306" s="263"/>
      <c r="D306" s="264"/>
      <c r="E306" s="264"/>
      <c r="F306" s="262"/>
      <c r="G306" s="262"/>
      <c r="H306" s="262"/>
      <c r="I306" s="267"/>
      <c r="J306" s="262"/>
      <c r="K306" s="264"/>
      <c r="L306" s="264"/>
      <c r="M306" s="264"/>
      <c r="N306" s="264"/>
      <c r="O306" s="269"/>
      <c r="P306" s="264"/>
      <c r="Q306" s="263"/>
      <c r="R306" s="264"/>
      <c r="S306" s="267"/>
      <c r="T306" s="267"/>
      <c r="U306" s="267"/>
      <c r="V306" s="262"/>
      <c r="W306" s="262"/>
      <c r="AD306" s="274"/>
      <c r="AE306" s="275"/>
      <c r="AF306" s="275"/>
      <c r="AG306" s="275"/>
      <c r="AH306" s="275"/>
      <c r="AI306" s="275"/>
      <c r="AJ306" s="275"/>
      <c r="AK306" s="275"/>
      <c r="AL306" s="275"/>
      <c r="AM306" s="275"/>
      <c r="AN306" s="275"/>
      <c r="AO306" s="275"/>
      <c r="AP306" s="275"/>
      <c r="AQ306" s="263"/>
      <c r="AR306" s="277"/>
      <c r="AS306" s="264"/>
      <c r="AT306" s="262"/>
    </row>
    <row r="307" ht="14.25" customHeight="1" spans="2:46">
      <c r="B307" s="262"/>
      <c r="C307" s="263"/>
      <c r="D307" s="264"/>
      <c r="E307" s="264"/>
      <c r="F307" s="262"/>
      <c r="G307" s="262"/>
      <c r="H307" s="262"/>
      <c r="I307" s="267"/>
      <c r="J307" s="262"/>
      <c r="K307" s="264"/>
      <c r="L307" s="264"/>
      <c r="M307" s="264"/>
      <c r="N307" s="264"/>
      <c r="O307" s="269"/>
      <c r="P307" s="264"/>
      <c r="Q307" s="263"/>
      <c r="R307" s="264"/>
      <c r="S307" s="267"/>
      <c r="T307" s="267"/>
      <c r="U307" s="267"/>
      <c r="V307" s="262"/>
      <c r="W307" s="262"/>
      <c r="AD307" s="274"/>
      <c r="AE307" s="275"/>
      <c r="AF307" s="275"/>
      <c r="AG307" s="275"/>
      <c r="AH307" s="275"/>
      <c r="AI307" s="275"/>
      <c r="AJ307" s="275"/>
      <c r="AK307" s="275"/>
      <c r="AL307" s="275"/>
      <c r="AM307" s="275"/>
      <c r="AN307" s="275"/>
      <c r="AO307" s="275"/>
      <c r="AP307" s="275"/>
      <c r="AQ307" s="263"/>
      <c r="AR307" s="277"/>
      <c r="AS307" s="264"/>
      <c r="AT307" s="262"/>
    </row>
    <row r="308" ht="14.25" customHeight="1" spans="2:46">
      <c r="B308" s="262"/>
      <c r="C308" s="263"/>
      <c r="D308" s="264"/>
      <c r="E308" s="264"/>
      <c r="F308" s="262"/>
      <c r="G308" s="262"/>
      <c r="H308" s="262"/>
      <c r="I308" s="267"/>
      <c r="J308" s="262"/>
      <c r="K308" s="264"/>
      <c r="L308" s="264"/>
      <c r="M308" s="264"/>
      <c r="N308" s="264"/>
      <c r="O308" s="269"/>
      <c r="P308" s="264"/>
      <c r="Q308" s="263"/>
      <c r="R308" s="264"/>
      <c r="S308" s="267"/>
      <c r="T308" s="267"/>
      <c r="U308" s="267"/>
      <c r="V308" s="262"/>
      <c r="W308" s="262"/>
      <c r="AD308" s="274"/>
      <c r="AE308" s="275"/>
      <c r="AF308" s="275"/>
      <c r="AG308" s="275"/>
      <c r="AH308" s="275"/>
      <c r="AI308" s="275"/>
      <c r="AJ308" s="275"/>
      <c r="AK308" s="275"/>
      <c r="AL308" s="275"/>
      <c r="AM308" s="275"/>
      <c r="AN308" s="275"/>
      <c r="AO308" s="275"/>
      <c r="AP308" s="275"/>
      <c r="AQ308" s="263"/>
      <c r="AR308" s="277"/>
      <c r="AS308" s="264"/>
      <c r="AT308" s="262"/>
    </row>
    <row r="309" ht="14.25" customHeight="1" spans="2:46">
      <c r="B309" s="262"/>
      <c r="C309" s="263"/>
      <c r="D309" s="264"/>
      <c r="E309" s="264"/>
      <c r="F309" s="262"/>
      <c r="G309" s="262"/>
      <c r="H309" s="262"/>
      <c r="I309" s="267"/>
      <c r="J309" s="262"/>
      <c r="K309" s="264"/>
      <c r="L309" s="264"/>
      <c r="M309" s="264"/>
      <c r="N309" s="264"/>
      <c r="O309" s="269"/>
      <c r="P309" s="264"/>
      <c r="Q309" s="263"/>
      <c r="R309" s="264"/>
      <c r="S309" s="267"/>
      <c r="T309" s="267"/>
      <c r="U309" s="267"/>
      <c r="V309" s="262"/>
      <c r="W309" s="262"/>
      <c r="AD309" s="274"/>
      <c r="AE309" s="275"/>
      <c r="AF309" s="275"/>
      <c r="AG309" s="275"/>
      <c r="AH309" s="275"/>
      <c r="AI309" s="275"/>
      <c r="AJ309" s="275"/>
      <c r="AK309" s="275"/>
      <c r="AL309" s="275"/>
      <c r="AM309" s="275"/>
      <c r="AN309" s="275"/>
      <c r="AO309" s="275"/>
      <c r="AP309" s="275"/>
      <c r="AQ309" s="263"/>
      <c r="AR309" s="277"/>
      <c r="AS309" s="264"/>
      <c r="AT309" s="262"/>
    </row>
    <row r="310" ht="14.25" customHeight="1" spans="2:46">
      <c r="B310" s="262"/>
      <c r="C310" s="263"/>
      <c r="D310" s="264"/>
      <c r="E310" s="264"/>
      <c r="F310" s="262"/>
      <c r="G310" s="262"/>
      <c r="H310" s="262"/>
      <c r="I310" s="267"/>
      <c r="J310" s="262"/>
      <c r="K310" s="264"/>
      <c r="L310" s="264"/>
      <c r="M310" s="264"/>
      <c r="N310" s="264"/>
      <c r="O310" s="269"/>
      <c r="P310" s="264"/>
      <c r="Q310" s="263"/>
      <c r="R310" s="264"/>
      <c r="S310" s="267"/>
      <c r="T310" s="267"/>
      <c r="U310" s="267"/>
      <c r="V310" s="262"/>
      <c r="W310" s="262"/>
      <c r="AD310" s="274"/>
      <c r="AE310" s="275"/>
      <c r="AF310" s="275"/>
      <c r="AG310" s="275"/>
      <c r="AH310" s="275"/>
      <c r="AI310" s="275"/>
      <c r="AJ310" s="275"/>
      <c r="AK310" s="275"/>
      <c r="AL310" s="275"/>
      <c r="AM310" s="275"/>
      <c r="AN310" s="275"/>
      <c r="AO310" s="275"/>
      <c r="AP310" s="275"/>
      <c r="AQ310" s="263"/>
      <c r="AR310" s="277"/>
      <c r="AS310" s="264"/>
      <c r="AT310" s="262"/>
    </row>
    <row r="311" ht="14.25" customHeight="1" spans="2:46">
      <c r="B311" s="262"/>
      <c r="C311" s="263"/>
      <c r="D311" s="264"/>
      <c r="E311" s="264"/>
      <c r="F311" s="262"/>
      <c r="G311" s="262"/>
      <c r="H311" s="262"/>
      <c r="I311" s="267"/>
      <c r="J311" s="262"/>
      <c r="K311" s="264"/>
      <c r="L311" s="264"/>
      <c r="M311" s="264"/>
      <c r="N311" s="264"/>
      <c r="O311" s="269"/>
      <c r="P311" s="264"/>
      <c r="Q311" s="263"/>
      <c r="R311" s="264"/>
      <c r="S311" s="267"/>
      <c r="T311" s="267"/>
      <c r="U311" s="267"/>
      <c r="V311" s="262"/>
      <c r="W311" s="262"/>
      <c r="AD311" s="274"/>
      <c r="AE311" s="275"/>
      <c r="AF311" s="275"/>
      <c r="AG311" s="275"/>
      <c r="AH311" s="275"/>
      <c r="AI311" s="275"/>
      <c r="AJ311" s="275"/>
      <c r="AK311" s="275"/>
      <c r="AL311" s="275"/>
      <c r="AM311" s="275"/>
      <c r="AN311" s="275"/>
      <c r="AO311" s="275"/>
      <c r="AP311" s="275"/>
      <c r="AQ311" s="263"/>
      <c r="AR311" s="277"/>
      <c r="AS311" s="264"/>
      <c r="AT311" s="262"/>
    </row>
    <row r="312" ht="14.25" customHeight="1" spans="2:46">
      <c r="B312" s="262"/>
      <c r="C312" s="263"/>
      <c r="D312" s="264"/>
      <c r="E312" s="264"/>
      <c r="F312" s="262"/>
      <c r="G312" s="262"/>
      <c r="H312" s="262"/>
      <c r="I312" s="267"/>
      <c r="J312" s="262"/>
      <c r="K312" s="264"/>
      <c r="L312" s="264"/>
      <c r="M312" s="264"/>
      <c r="N312" s="264"/>
      <c r="O312" s="269"/>
      <c r="P312" s="264"/>
      <c r="Q312" s="263"/>
      <c r="R312" s="264"/>
      <c r="S312" s="267"/>
      <c r="T312" s="267"/>
      <c r="U312" s="267"/>
      <c r="V312" s="262"/>
      <c r="W312" s="262"/>
      <c r="AD312" s="274"/>
      <c r="AE312" s="275"/>
      <c r="AF312" s="275"/>
      <c r="AG312" s="275"/>
      <c r="AH312" s="275"/>
      <c r="AI312" s="275"/>
      <c r="AJ312" s="275"/>
      <c r="AK312" s="275"/>
      <c r="AL312" s="275"/>
      <c r="AM312" s="275"/>
      <c r="AN312" s="275"/>
      <c r="AO312" s="275"/>
      <c r="AP312" s="275"/>
      <c r="AQ312" s="263"/>
      <c r="AR312" s="277"/>
      <c r="AS312" s="264"/>
      <c r="AT312" s="262"/>
    </row>
    <row r="313" ht="14.25" customHeight="1" spans="2:46">
      <c r="B313" s="262"/>
      <c r="C313" s="263"/>
      <c r="D313" s="264"/>
      <c r="E313" s="264"/>
      <c r="F313" s="262"/>
      <c r="G313" s="262"/>
      <c r="H313" s="262"/>
      <c r="I313" s="267"/>
      <c r="J313" s="262"/>
      <c r="K313" s="264"/>
      <c r="L313" s="264"/>
      <c r="M313" s="264"/>
      <c r="N313" s="264"/>
      <c r="O313" s="269"/>
      <c r="P313" s="264"/>
      <c r="Q313" s="263"/>
      <c r="R313" s="264"/>
      <c r="S313" s="267"/>
      <c r="T313" s="267"/>
      <c r="U313" s="267"/>
      <c r="V313" s="262"/>
      <c r="W313" s="262"/>
      <c r="AD313" s="274"/>
      <c r="AE313" s="275"/>
      <c r="AF313" s="275"/>
      <c r="AG313" s="275"/>
      <c r="AH313" s="275"/>
      <c r="AI313" s="275"/>
      <c r="AJ313" s="275"/>
      <c r="AK313" s="275"/>
      <c r="AL313" s="275"/>
      <c r="AM313" s="275"/>
      <c r="AN313" s="275"/>
      <c r="AO313" s="275"/>
      <c r="AP313" s="275"/>
      <c r="AQ313" s="263"/>
      <c r="AR313" s="277"/>
      <c r="AS313" s="264"/>
      <c r="AT313" s="262"/>
    </row>
    <row r="314" ht="14.25" customHeight="1" spans="2:46">
      <c r="B314" s="262"/>
      <c r="C314" s="263"/>
      <c r="D314" s="264"/>
      <c r="E314" s="264"/>
      <c r="F314" s="262"/>
      <c r="G314" s="262"/>
      <c r="H314" s="262"/>
      <c r="I314" s="267"/>
      <c r="J314" s="262"/>
      <c r="K314" s="264"/>
      <c r="L314" s="264"/>
      <c r="M314" s="264"/>
      <c r="N314" s="264"/>
      <c r="O314" s="269"/>
      <c r="P314" s="264"/>
      <c r="Q314" s="263"/>
      <c r="R314" s="264"/>
      <c r="S314" s="267"/>
      <c r="T314" s="267"/>
      <c r="U314" s="267"/>
      <c r="V314" s="262"/>
      <c r="W314" s="262"/>
      <c r="AD314" s="274"/>
      <c r="AE314" s="275"/>
      <c r="AF314" s="275"/>
      <c r="AG314" s="275"/>
      <c r="AH314" s="275"/>
      <c r="AI314" s="275"/>
      <c r="AJ314" s="275"/>
      <c r="AK314" s="275"/>
      <c r="AL314" s="275"/>
      <c r="AM314" s="275"/>
      <c r="AN314" s="275"/>
      <c r="AO314" s="275"/>
      <c r="AP314" s="275"/>
      <c r="AQ314" s="263"/>
      <c r="AR314" s="277"/>
      <c r="AS314" s="264"/>
      <c r="AT314" s="262"/>
    </row>
    <row r="315" ht="14.25" customHeight="1" spans="2:46">
      <c r="B315" s="262"/>
      <c r="C315" s="263"/>
      <c r="D315" s="264"/>
      <c r="E315" s="264"/>
      <c r="F315" s="262"/>
      <c r="G315" s="262"/>
      <c r="H315" s="262"/>
      <c r="I315" s="267"/>
      <c r="J315" s="262"/>
      <c r="K315" s="264"/>
      <c r="L315" s="264"/>
      <c r="M315" s="264"/>
      <c r="N315" s="264"/>
      <c r="O315" s="269"/>
      <c r="P315" s="264"/>
      <c r="Q315" s="263"/>
      <c r="R315" s="264"/>
      <c r="S315" s="267"/>
      <c r="T315" s="267"/>
      <c r="U315" s="267"/>
      <c r="V315" s="262"/>
      <c r="W315" s="262"/>
      <c r="AD315" s="274"/>
      <c r="AE315" s="275"/>
      <c r="AF315" s="275"/>
      <c r="AG315" s="275"/>
      <c r="AH315" s="275"/>
      <c r="AI315" s="275"/>
      <c r="AJ315" s="275"/>
      <c r="AK315" s="275"/>
      <c r="AL315" s="275"/>
      <c r="AM315" s="275"/>
      <c r="AN315" s="275"/>
      <c r="AO315" s="275"/>
      <c r="AP315" s="275"/>
      <c r="AQ315" s="263"/>
      <c r="AR315" s="277"/>
      <c r="AS315" s="264"/>
      <c r="AT315" s="262"/>
    </row>
    <row r="316" ht="14.25" customHeight="1" spans="2:46">
      <c r="B316" s="262"/>
      <c r="C316" s="263"/>
      <c r="D316" s="264"/>
      <c r="E316" s="264"/>
      <c r="F316" s="262"/>
      <c r="G316" s="262"/>
      <c r="H316" s="262"/>
      <c r="I316" s="267"/>
      <c r="J316" s="262"/>
      <c r="K316" s="264"/>
      <c r="L316" s="264"/>
      <c r="M316" s="264"/>
      <c r="N316" s="264"/>
      <c r="O316" s="269"/>
      <c r="P316" s="264"/>
      <c r="Q316" s="263"/>
      <c r="R316" s="264"/>
      <c r="S316" s="267"/>
      <c r="T316" s="267"/>
      <c r="U316" s="267"/>
      <c r="V316" s="262"/>
      <c r="W316" s="262"/>
      <c r="AD316" s="274"/>
      <c r="AE316" s="275"/>
      <c r="AF316" s="275"/>
      <c r="AG316" s="275"/>
      <c r="AH316" s="275"/>
      <c r="AI316" s="275"/>
      <c r="AJ316" s="275"/>
      <c r="AK316" s="275"/>
      <c r="AL316" s="275"/>
      <c r="AM316" s="275"/>
      <c r="AN316" s="275"/>
      <c r="AO316" s="275"/>
      <c r="AP316" s="275"/>
      <c r="AQ316" s="263"/>
      <c r="AR316" s="277"/>
      <c r="AS316" s="264"/>
      <c r="AT316" s="262"/>
    </row>
    <row r="317" ht="14.25" customHeight="1" spans="2:46">
      <c r="B317" s="262"/>
      <c r="C317" s="263"/>
      <c r="D317" s="264"/>
      <c r="E317" s="264"/>
      <c r="F317" s="262"/>
      <c r="G317" s="262"/>
      <c r="H317" s="262"/>
      <c r="I317" s="267"/>
      <c r="J317" s="262"/>
      <c r="K317" s="264"/>
      <c r="L317" s="264"/>
      <c r="M317" s="264"/>
      <c r="N317" s="264"/>
      <c r="O317" s="269"/>
      <c r="P317" s="264"/>
      <c r="Q317" s="263"/>
      <c r="R317" s="264"/>
      <c r="S317" s="267"/>
      <c r="T317" s="267"/>
      <c r="U317" s="267"/>
      <c r="V317" s="262"/>
      <c r="W317" s="262"/>
      <c r="AD317" s="274"/>
      <c r="AE317" s="275"/>
      <c r="AF317" s="275"/>
      <c r="AG317" s="275"/>
      <c r="AH317" s="275"/>
      <c r="AI317" s="275"/>
      <c r="AJ317" s="275"/>
      <c r="AK317" s="275"/>
      <c r="AL317" s="275"/>
      <c r="AM317" s="275"/>
      <c r="AN317" s="275"/>
      <c r="AO317" s="275"/>
      <c r="AP317" s="275"/>
      <c r="AQ317" s="263"/>
      <c r="AR317" s="277"/>
      <c r="AS317" s="264"/>
      <c r="AT317" s="262"/>
    </row>
    <row r="318" ht="14.25" customHeight="1" spans="2:46">
      <c r="B318" s="262"/>
      <c r="C318" s="263"/>
      <c r="D318" s="264"/>
      <c r="E318" s="264"/>
      <c r="F318" s="262"/>
      <c r="G318" s="262"/>
      <c r="H318" s="262"/>
      <c r="I318" s="267"/>
      <c r="J318" s="262"/>
      <c r="K318" s="264"/>
      <c r="L318" s="264"/>
      <c r="M318" s="264"/>
      <c r="N318" s="264"/>
      <c r="O318" s="269"/>
      <c r="P318" s="264"/>
      <c r="Q318" s="263"/>
      <c r="R318" s="264"/>
      <c r="S318" s="267"/>
      <c r="T318" s="267"/>
      <c r="U318" s="267"/>
      <c r="V318" s="262"/>
      <c r="W318" s="262"/>
      <c r="AD318" s="274"/>
      <c r="AE318" s="275"/>
      <c r="AF318" s="275"/>
      <c r="AG318" s="275"/>
      <c r="AH318" s="275"/>
      <c r="AI318" s="275"/>
      <c r="AJ318" s="275"/>
      <c r="AK318" s="275"/>
      <c r="AL318" s="275"/>
      <c r="AM318" s="275"/>
      <c r="AN318" s="275"/>
      <c r="AO318" s="275"/>
      <c r="AP318" s="275"/>
      <c r="AQ318" s="263"/>
      <c r="AR318" s="277"/>
      <c r="AS318" s="264"/>
      <c r="AT318" s="262"/>
    </row>
    <row r="319" ht="14.25" customHeight="1" spans="2:46">
      <c r="B319" s="262"/>
      <c r="C319" s="263"/>
      <c r="D319" s="264"/>
      <c r="E319" s="264"/>
      <c r="F319" s="262"/>
      <c r="G319" s="262"/>
      <c r="H319" s="262"/>
      <c r="I319" s="267"/>
      <c r="J319" s="262"/>
      <c r="K319" s="264"/>
      <c r="L319" s="264"/>
      <c r="M319" s="264"/>
      <c r="N319" s="264"/>
      <c r="O319" s="269"/>
      <c r="P319" s="264"/>
      <c r="Q319" s="263"/>
      <c r="R319" s="264"/>
      <c r="S319" s="267"/>
      <c r="T319" s="267"/>
      <c r="U319" s="267"/>
      <c r="V319" s="262"/>
      <c r="W319" s="262"/>
      <c r="AD319" s="274"/>
      <c r="AE319" s="275"/>
      <c r="AF319" s="275"/>
      <c r="AG319" s="275"/>
      <c r="AH319" s="275"/>
      <c r="AI319" s="275"/>
      <c r="AJ319" s="275"/>
      <c r="AK319" s="275"/>
      <c r="AL319" s="275"/>
      <c r="AM319" s="275"/>
      <c r="AN319" s="275"/>
      <c r="AO319" s="275"/>
      <c r="AP319" s="275"/>
      <c r="AQ319" s="263"/>
      <c r="AR319" s="277"/>
      <c r="AS319" s="264"/>
      <c r="AT319" s="262"/>
    </row>
    <row r="320" ht="14.25" customHeight="1" spans="2:46">
      <c r="B320" s="262"/>
      <c r="C320" s="263"/>
      <c r="D320" s="264"/>
      <c r="E320" s="264"/>
      <c r="F320" s="262"/>
      <c r="G320" s="262"/>
      <c r="H320" s="262"/>
      <c r="I320" s="267"/>
      <c r="J320" s="262"/>
      <c r="K320" s="264"/>
      <c r="L320" s="264"/>
      <c r="M320" s="264"/>
      <c r="N320" s="264"/>
      <c r="O320" s="269"/>
      <c r="P320" s="264"/>
      <c r="Q320" s="263"/>
      <c r="R320" s="264"/>
      <c r="S320" s="267"/>
      <c r="T320" s="267"/>
      <c r="U320" s="267"/>
      <c r="V320" s="262"/>
      <c r="W320" s="262"/>
      <c r="AD320" s="274"/>
      <c r="AE320" s="275"/>
      <c r="AF320" s="275"/>
      <c r="AG320" s="275"/>
      <c r="AH320" s="275"/>
      <c r="AI320" s="275"/>
      <c r="AJ320" s="275"/>
      <c r="AK320" s="275"/>
      <c r="AL320" s="275"/>
      <c r="AM320" s="275"/>
      <c r="AN320" s="275"/>
      <c r="AO320" s="275"/>
      <c r="AP320" s="275"/>
      <c r="AQ320" s="263"/>
      <c r="AR320" s="277"/>
      <c r="AS320" s="264"/>
      <c r="AT320" s="262"/>
    </row>
    <row r="321" ht="14.25" customHeight="1" spans="2:46">
      <c r="B321" s="262"/>
      <c r="C321" s="263"/>
      <c r="D321" s="264"/>
      <c r="E321" s="264"/>
      <c r="F321" s="262"/>
      <c r="G321" s="262"/>
      <c r="H321" s="262"/>
      <c r="I321" s="267"/>
      <c r="J321" s="262"/>
      <c r="K321" s="264"/>
      <c r="L321" s="264"/>
      <c r="M321" s="264"/>
      <c r="N321" s="264"/>
      <c r="O321" s="269"/>
      <c r="P321" s="264"/>
      <c r="Q321" s="263"/>
      <c r="R321" s="264"/>
      <c r="S321" s="267"/>
      <c r="T321" s="267"/>
      <c r="U321" s="267"/>
      <c r="V321" s="262"/>
      <c r="W321" s="262"/>
      <c r="AD321" s="274"/>
      <c r="AE321" s="275"/>
      <c r="AF321" s="275"/>
      <c r="AG321" s="275"/>
      <c r="AH321" s="275"/>
      <c r="AI321" s="275"/>
      <c r="AJ321" s="275"/>
      <c r="AK321" s="275"/>
      <c r="AL321" s="275"/>
      <c r="AM321" s="275"/>
      <c r="AN321" s="275"/>
      <c r="AO321" s="275"/>
      <c r="AP321" s="275"/>
      <c r="AQ321" s="263"/>
      <c r="AR321" s="277"/>
      <c r="AS321" s="264"/>
      <c r="AT321" s="262"/>
    </row>
    <row r="322" ht="14.25" customHeight="1" spans="2:46">
      <c r="B322" s="262"/>
      <c r="C322" s="263"/>
      <c r="D322" s="264"/>
      <c r="E322" s="264"/>
      <c r="F322" s="262"/>
      <c r="G322" s="262"/>
      <c r="H322" s="262"/>
      <c r="I322" s="267"/>
      <c r="J322" s="262"/>
      <c r="K322" s="264"/>
      <c r="L322" s="264"/>
      <c r="M322" s="264"/>
      <c r="N322" s="264"/>
      <c r="O322" s="269"/>
      <c r="P322" s="264"/>
      <c r="Q322" s="263"/>
      <c r="R322" s="264"/>
      <c r="S322" s="267"/>
      <c r="T322" s="267"/>
      <c r="U322" s="267"/>
      <c r="V322" s="262"/>
      <c r="W322" s="262"/>
      <c r="AD322" s="274"/>
      <c r="AE322" s="275"/>
      <c r="AF322" s="275"/>
      <c r="AG322" s="275"/>
      <c r="AH322" s="275"/>
      <c r="AI322" s="275"/>
      <c r="AJ322" s="275"/>
      <c r="AK322" s="275"/>
      <c r="AL322" s="275"/>
      <c r="AM322" s="275"/>
      <c r="AN322" s="275"/>
      <c r="AO322" s="275"/>
      <c r="AP322" s="275"/>
      <c r="AQ322" s="263"/>
      <c r="AR322" s="277"/>
      <c r="AS322" s="264"/>
      <c r="AT322" s="262"/>
    </row>
    <row r="323" ht="14.25" customHeight="1" spans="2:46">
      <c r="B323" s="262"/>
      <c r="C323" s="263"/>
      <c r="D323" s="264"/>
      <c r="E323" s="264"/>
      <c r="F323" s="262"/>
      <c r="G323" s="262"/>
      <c r="H323" s="262"/>
      <c r="I323" s="267"/>
      <c r="J323" s="262"/>
      <c r="K323" s="264"/>
      <c r="L323" s="264"/>
      <c r="M323" s="264"/>
      <c r="N323" s="264"/>
      <c r="O323" s="269"/>
      <c r="P323" s="264"/>
      <c r="Q323" s="263"/>
      <c r="R323" s="264"/>
      <c r="S323" s="267"/>
      <c r="T323" s="267"/>
      <c r="U323" s="267"/>
      <c r="V323" s="262"/>
      <c r="W323" s="262"/>
      <c r="AD323" s="274"/>
      <c r="AE323" s="275"/>
      <c r="AF323" s="275"/>
      <c r="AG323" s="275"/>
      <c r="AH323" s="275"/>
      <c r="AI323" s="275"/>
      <c r="AJ323" s="275"/>
      <c r="AK323" s="275"/>
      <c r="AL323" s="275"/>
      <c r="AM323" s="275"/>
      <c r="AN323" s="275"/>
      <c r="AO323" s="275"/>
      <c r="AP323" s="275"/>
      <c r="AQ323" s="263"/>
      <c r="AR323" s="277"/>
      <c r="AS323" s="264"/>
      <c r="AT323" s="262"/>
    </row>
    <row r="324" ht="14.25" customHeight="1" spans="2:46">
      <c r="B324" s="262"/>
      <c r="C324" s="263"/>
      <c r="D324" s="264"/>
      <c r="E324" s="264"/>
      <c r="F324" s="262"/>
      <c r="G324" s="262"/>
      <c r="H324" s="262"/>
      <c r="I324" s="267"/>
      <c r="J324" s="262"/>
      <c r="K324" s="264"/>
      <c r="L324" s="264"/>
      <c r="M324" s="264"/>
      <c r="N324" s="264"/>
      <c r="O324" s="269"/>
      <c r="P324" s="264"/>
      <c r="Q324" s="263"/>
      <c r="R324" s="264"/>
      <c r="S324" s="267"/>
      <c r="T324" s="267"/>
      <c r="U324" s="267"/>
      <c r="V324" s="262"/>
      <c r="W324" s="262"/>
      <c r="AD324" s="274"/>
      <c r="AE324" s="275"/>
      <c r="AF324" s="275"/>
      <c r="AG324" s="275"/>
      <c r="AH324" s="275"/>
      <c r="AI324" s="275"/>
      <c r="AJ324" s="275"/>
      <c r="AK324" s="275"/>
      <c r="AL324" s="275"/>
      <c r="AM324" s="275"/>
      <c r="AN324" s="275"/>
      <c r="AO324" s="275"/>
      <c r="AP324" s="275"/>
      <c r="AQ324" s="263"/>
      <c r="AR324" s="277"/>
      <c r="AS324" s="264"/>
      <c r="AT324" s="262"/>
    </row>
    <row r="325" ht="14.25" customHeight="1" spans="2:46">
      <c r="B325" s="262"/>
      <c r="C325" s="263"/>
      <c r="D325" s="264"/>
      <c r="E325" s="264"/>
      <c r="F325" s="262"/>
      <c r="G325" s="262"/>
      <c r="H325" s="262"/>
      <c r="I325" s="267"/>
      <c r="J325" s="262"/>
      <c r="K325" s="264"/>
      <c r="L325" s="264"/>
      <c r="M325" s="264"/>
      <c r="N325" s="264"/>
      <c r="O325" s="269"/>
      <c r="P325" s="264"/>
      <c r="Q325" s="263"/>
      <c r="R325" s="264"/>
      <c r="S325" s="267"/>
      <c r="T325" s="267"/>
      <c r="U325" s="267"/>
      <c r="V325" s="262"/>
      <c r="W325" s="262"/>
      <c r="AD325" s="274"/>
      <c r="AE325" s="275"/>
      <c r="AF325" s="275"/>
      <c r="AG325" s="275"/>
      <c r="AH325" s="275"/>
      <c r="AI325" s="275"/>
      <c r="AJ325" s="275"/>
      <c r="AK325" s="275"/>
      <c r="AL325" s="275"/>
      <c r="AM325" s="275"/>
      <c r="AN325" s="275"/>
      <c r="AO325" s="275"/>
      <c r="AP325" s="275"/>
      <c r="AQ325" s="263"/>
      <c r="AR325" s="277"/>
      <c r="AS325" s="264"/>
      <c r="AT325" s="262"/>
    </row>
    <row r="326" ht="14.25" customHeight="1" spans="2:46">
      <c r="B326" s="262"/>
      <c r="C326" s="263"/>
      <c r="D326" s="264"/>
      <c r="E326" s="264"/>
      <c r="F326" s="262"/>
      <c r="G326" s="262"/>
      <c r="H326" s="262"/>
      <c r="I326" s="267"/>
      <c r="J326" s="262"/>
      <c r="K326" s="264"/>
      <c r="L326" s="264"/>
      <c r="M326" s="264"/>
      <c r="N326" s="264"/>
      <c r="O326" s="269"/>
      <c r="P326" s="264"/>
      <c r="Q326" s="263"/>
      <c r="R326" s="264"/>
      <c r="S326" s="267"/>
      <c r="T326" s="267"/>
      <c r="U326" s="267"/>
      <c r="V326" s="262"/>
      <c r="W326" s="262"/>
      <c r="AD326" s="274"/>
      <c r="AE326" s="275"/>
      <c r="AF326" s="275"/>
      <c r="AG326" s="275"/>
      <c r="AH326" s="275"/>
      <c r="AI326" s="275"/>
      <c r="AJ326" s="275"/>
      <c r="AK326" s="275"/>
      <c r="AL326" s="275"/>
      <c r="AM326" s="275"/>
      <c r="AN326" s="275"/>
      <c r="AO326" s="275"/>
      <c r="AP326" s="275"/>
      <c r="AQ326" s="263"/>
      <c r="AR326" s="277"/>
      <c r="AS326" s="264"/>
      <c r="AT326" s="262"/>
    </row>
    <row r="327" ht="14.25" customHeight="1" spans="2:46">
      <c r="B327" s="262"/>
      <c r="C327" s="263"/>
      <c r="D327" s="264"/>
      <c r="E327" s="264"/>
      <c r="F327" s="262"/>
      <c r="G327" s="262"/>
      <c r="H327" s="262"/>
      <c r="I327" s="267"/>
      <c r="J327" s="262"/>
      <c r="K327" s="264"/>
      <c r="L327" s="264"/>
      <c r="M327" s="264"/>
      <c r="N327" s="264"/>
      <c r="O327" s="269"/>
      <c r="P327" s="264"/>
      <c r="Q327" s="263"/>
      <c r="R327" s="264"/>
      <c r="S327" s="267"/>
      <c r="T327" s="267"/>
      <c r="U327" s="267"/>
      <c r="V327" s="262"/>
      <c r="W327" s="262"/>
      <c r="AD327" s="274"/>
      <c r="AE327" s="275"/>
      <c r="AF327" s="275"/>
      <c r="AG327" s="275"/>
      <c r="AH327" s="275"/>
      <c r="AI327" s="275"/>
      <c r="AJ327" s="275"/>
      <c r="AK327" s="275"/>
      <c r="AL327" s="275"/>
      <c r="AM327" s="275"/>
      <c r="AN327" s="275"/>
      <c r="AO327" s="275"/>
      <c r="AP327" s="275"/>
      <c r="AQ327" s="263"/>
      <c r="AR327" s="277"/>
      <c r="AS327" s="264"/>
      <c r="AT327" s="262"/>
    </row>
    <row r="328" ht="14.25" customHeight="1" spans="2:46">
      <c r="B328" s="262"/>
      <c r="C328" s="263"/>
      <c r="D328" s="264"/>
      <c r="E328" s="264"/>
      <c r="F328" s="262"/>
      <c r="G328" s="262"/>
      <c r="H328" s="262"/>
      <c r="I328" s="267"/>
      <c r="J328" s="262"/>
      <c r="K328" s="264"/>
      <c r="L328" s="264"/>
      <c r="M328" s="264"/>
      <c r="N328" s="264"/>
      <c r="O328" s="269"/>
      <c r="P328" s="264"/>
      <c r="Q328" s="263"/>
      <c r="R328" s="264"/>
      <c r="S328" s="267"/>
      <c r="T328" s="267"/>
      <c r="U328" s="267"/>
      <c r="V328" s="262"/>
      <c r="W328" s="262"/>
      <c r="AD328" s="274"/>
      <c r="AE328" s="275"/>
      <c r="AF328" s="275"/>
      <c r="AG328" s="275"/>
      <c r="AH328" s="275"/>
      <c r="AI328" s="275"/>
      <c r="AJ328" s="275"/>
      <c r="AK328" s="275"/>
      <c r="AL328" s="275"/>
      <c r="AM328" s="275"/>
      <c r="AN328" s="275"/>
      <c r="AO328" s="275"/>
      <c r="AP328" s="275"/>
      <c r="AQ328" s="263"/>
      <c r="AR328" s="277"/>
      <c r="AS328" s="264"/>
      <c r="AT328" s="262"/>
    </row>
    <row r="329" ht="14.25" customHeight="1" spans="2:46">
      <c r="B329" s="262"/>
      <c r="C329" s="263"/>
      <c r="D329" s="264"/>
      <c r="E329" s="264"/>
      <c r="F329" s="262"/>
      <c r="G329" s="262"/>
      <c r="H329" s="262"/>
      <c r="I329" s="267"/>
      <c r="J329" s="262"/>
      <c r="K329" s="264"/>
      <c r="L329" s="264"/>
      <c r="M329" s="264"/>
      <c r="N329" s="264"/>
      <c r="O329" s="269"/>
      <c r="P329" s="264"/>
      <c r="Q329" s="263"/>
      <c r="R329" s="264"/>
      <c r="S329" s="267"/>
      <c r="T329" s="267"/>
      <c r="U329" s="267"/>
      <c r="V329" s="262"/>
      <c r="W329" s="262"/>
      <c r="AD329" s="274"/>
      <c r="AE329" s="275"/>
      <c r="AF329" s="275"/>
      <c r="AG329" s="275"/>
      <c r="AH329" s="275"/>
      <c r="AI329" s="275"/>
      <c r="AJ329" s="275"/>
      <c r="AK329" s="275"/>
      <c r="AL329" s="275"/>
      <c r="AM329" s="275"/>
      <c r="AN329" s="275"/>
      <c r="AO329" s="275"/>
      <c r="AP329" s="275"/>
      <c r="AQ329" s="263"/>
      <c r="AR329" s="277"/>
      <c r="AS329" s="264"/>
      <c r="AT329" s="262"/>
    </row>
    <row r="330" ht="14.25" customHeight="1" spans="2:46">
      <c r="B330" s="262"/>
      <c r="C330" s="263"/>
      <c r="D330" s="264"/>
      <c r="E330" s="264"/>
      <c r="F330" s="262"/>
      <c r="G330" s="262"/>
      <c r="H330" s="262"/>
      <c r="I330" s="267"/>
      <c r="J330" s="262"/>
      <c r="K330" s="264"/>
      <c r="L330" s="264"/>
      <c r="M330" s="264"/>
      <c r="N330" s="264"/>
      <c r="O330" s="269"/>
      <c r="P330" s="264"/>
      <c r="Q330" s="263"/>
      <c r="R330" s="264"/>
      <c r="S330" s="267"/>
      <c r="T330" s="267"/>
      <c r="U330" s="267"/>
      <c r="V330" s="262"/>
      <c r="W330" s="262"/>
      <c r="AD330" s="274"/>
      <c r="AE330" s="275"/>
      <c r="AF330" s="275"/>
      <c r="AG330" s="275"/>
      <c r="AH330" s="275"/>
      <c r="AI330" s="275"/>
      <c r="AJ330" s="275"/>
      <c r="AK330" s="275"/>
      <c r="AL330" s="275"/>
      <c r="AM330" s="275"/>
      <c r="AN330" s="275"/>
      <c r="AO330" s="275"/>
      <c r="AP330" s="275"/>
      <c r="AQ330" s="263"/>
      <c r="AR330" s="277"/>
      <c r="AS330" s="264"/>
      <c r="AT330" s="262"/>
    </row>
    <row r="331" ht="14.25" customHeight="1" spans="2:46">
      <c r="B331" s="262"/>
      <c r="C331" s="263"/>
      <c r="D331" s="264"/>
      <c r="E331" s="264"/>
      <c r="F331" s="262"/>
      <c r="G331" s="262"/>
      <c r="H331" s="262"/>
      <c r="I331" s="267"/>
      <c r="J331" s="262"/>
      <c r="K331" s="264"/>
      <c r="L331" s="264"/>
      <c r="M331" s="264"/>
      <c r="N331" s="264"/>
      <c r="O331" s="269"/>
      <c r="P331" s="264"/>
      <c r="Q331" s="263"/>
      <c r="R331" s="264"/>
      <c r="S331" s="267"/>
      <c r="T331" s="267"/>
      <c r="U331" s="267"/>
      <c r="V331" s="262"/>
      <c r="W331" s="262"/>
      <c r="AD331" s="274"/>
      <c r="AE331" s="275"/>
      <c r="AF331" s="275"/>
      <c r="AG331" s="275"/>
      <c r="AH331" s="275"/>
      <c r="AI331" s="275"/>
      <c r="AJ331" s="275"/>
      <c r="AK331" s="275"/>
      <c r="AL331" s="275"/>
      <c r="AM331" s="275"/>
      <c r="AN331" s="275"/>
      <c r="AO331" s="275"/>
      <c r="AP331" s="275"/>
      <c r="AQ331" s="263"/>
      <c r="AR331" s="277"/>
      <c r="AS331" s="264"/>
      <c r="AT331" s="262"/>
    </row>
    <row r="332" ht="14.25" customHeight="1" spans="2:46">
      <c r="B332" s="262"/>
      <c r="C332" s="263"/>
      <c r="D332" s="264"/>
      <c r="E332" s="264"/>
      <c r="F332" s="262"/>
      <c r="G332" s="262"/>
      <c r="H332" s="262"/>
      <c r="I332" s="267"/>
      <c r="J332" s="262"/>
      <c r="K332" s="264"/>
      <c r="L332" s="264"/>
      <c r="M332" s="264"/>
      <c r="N332" s="264"/>
      <c r="O332" s="269"/>
      <c r="P332" s="264"/>
      <c r="Q332" s="263"/>
      <c r="R332" s="264"/>
      <c r="S332" s="267"/>
      <c r="T332" s="267"/>
      <c r="U332" s="267"/>
      <c r="V332" s="262"/>
      <c r="W332" s="262"/>
      <c r="AD332" s="274"/>
      <c r="AE332" s="275"/>
      <c r="AF332" s="275"/>
      <c r="AG332" s="275"/>
      <c r="AH332" s="275"/>
      <c r="AI332" s="275"/>
      <c r="AJ332" s="275"/>
      <c r="AK332" s="275"/>
      <c r="AL332" s="275"/>
      <c r="AM332" s="275"/>
      <c r="AN332" s="275"/>
      <c r="AO332" s="275"/>
      <c r="AP332" s="275"/>
      <c r="AQ332" s="263"/>
      <c r="AR332" s="277"/>
      <c r="AS332" s="264"/>
      <c r="AT332" s="262"/>
    </row>
    <row r="333" ht="14.25" customHeight="1" spans="2:46">
      <c r="B333" s="262"/>
      <c r="C333" s="263"/>
      <c r="D333" s="264"/>
      <c r="E333" s="264"/>
      <c r="F333" s="262"/>
      <c r="G333" s="262"/>
      <c r="H333" s="262"/>
      <c r="I333" s="267"/>
      <c r="J333" s="262"/>
      <c r="K333" s="264"/>
      <c r="L333" s="264"/>
      <c r="M333" s="264"/>
      <c r="N333" s="264"/>
      <c r="O333" s="269"/>
      <c r="P333" s="264"/>
      <c r="Q333" s="263"/>
      <c r="R333" s="264"/>
      <c r="S333" s="267"/>
      <c r="T333" s="267"/>
      <c r="U333" s="267"/>
      <c r="V333" s="262"/>
      <c r="W333" s="262"/>
      <c r="AD333" s="274"/>
      <c r="AE333" s="275"/>
      <c r="AF333" s="275"/>
      <c r="AG333" s="275"/>
      <c r="AH333" s="275"/>
      <c r="AI333" s="275"/>
      <c r="AJ333" s="275"/>
      <c r="AK333" s="275"/>
      <c r="AL333" s="275"/>
      <c r="AM333" s="275"/>
      <c r="AN333" s="275"/>
      <c r="AO333" s="275"/>
      <c r="AP333" s="275"/>
      <c r="AQ333" s="263"/>
      <c r="AR333" s="277"/>
      <c r="AS333" s="264"/>
      <c r="AT333" s="262"/>
    </row>
    <row r="334" ht="14.25" customHeight="1" spans="2:46">
      <c r="B334" s="262"/>
      <c r="C334" s="263"/>
      <c r="D334" s="264"/>
      <c r="E334" s="264"/>
      <c r="F334" s="262"/>
      <c r="G334" s="262"/>
      <c r="H334" s="262"/>
      <c r="I334" s="267"/>
      <c r="J334" s="262"/>
      <c r="K334" s="264"/>
      <c r="L334" s="264"/>
      <c r="M334" s="264"/>
      <c r="N334" s="264"/>
      <c r="O334" s="269"/>
      <c r="P334" s="264"/>
      <c r="Q334" s="263"/>
      <c r="R334" s="264"/>
      <c r="S334" s="267"/>
      <c r="T334" s="267"/>
      <c r="U334" s="267"/>
      <c r="V334" s="262"/>
      <c r="W334" s="262"/>
      <c r="AD334" s="274"/>
      <c r="AE334" s="275"/>
      <c r="AF334" s="275"/>
      <c r="AG334" s="275"/>
      <c r="AH334" s="275"/>
      <c r="AI334" s="275"/>
      <c r="AJ334" s="275"/>
      <c r="AK334" s="275"/>
      <c r="AL334" s="275"/>
      <c r="AM334" s="275"/>
      <c r="AN334" s="275"/>
      <c r="AO334" s="275"/>
      <c r="AP334" s="275"/>
      <c r="AQ334" s="263"/>
      <c r="AR334" s="277"/>
      <c r="AS334" s="264"/>
      <c r="AT334" s="262"/>
    </row>
    <row r="335" ht="14.25" customHeight="1" spans="2:46">
      <c r="B335" s="262"/>
      <c r="C335" s="263"/>
      <c r="D335" s="264"/>
      <c r="E335" s="264"/>
      <c r="F335" s="262"/>
      <c r="G335" s="262"/>
      <c r="H335" s="262"/>
      <c r="I335" s="267"/>
      <c r="J335" s="262"/>
      <c r="K335" s="264"/>
      <c r="L335" s="264"/>
      <c r="M335" s="264"/>
      <c r="N335" s="264"/>
      <c r="O335" s="269"/>
      <c r="P335" s="264"/>
      <c r="Q335" s="263"/>
      <c r="R335" s="264"/>
      <c r="S335" s="267"/>
      <c r="T335" s="267"/>
      <c r="U335" s="267"/>
      <c r="V335" s="262"/>
      <c r="W335" s="262"/>
      <c r="AD335" s="274"/>
      <c r="AE335" s="275"/>
      <c r="AF335" s="275"/>
      <c r="AG335" s="275"/>
      <c r="AH335" s="275"/>
      <c r="AI335" s="275"/>
      <c r="AJ335" s="275"/>
      <c r="AK335" s="275"/>
      <c r="AL335" s="275"/>
      <c r="AM335" s="275"/>
      <c r="AN335" s="275"/>
      <c r="AO335" s="275"/>
      <c r="AP335" s="275"/>
      <c r="AQ335" s="263"/>
      <c r="AR335" s="277"/>
      <c r="AS335" s="264"/>
      <c r="AT335" s="262"/>
    </row>
    <row r="336" ht="14.25" customHeight="1" spans="2:46">
      <c r="B336" s="262"/>
      <c r="C336" s="263"/>
      <c r="D336" s="264"/>
      <c r="E336" s="264"/>
      <c r="F336" s="262"/>
      <c r="G336" s="262"/>
      <c r="H336" s="262"/>
      <c r="I336" s="267"/>
      <c r="J336" s="262"/>
      <c r="K336" s="264"/>
      <c r="L336" s="264"/>
      <c r="M336" s="264"/>
      <c r="N336" s="264"/>
      <c r="O336" s="269"/>
      <c r="P336" s="264"/>
      <c r="Q336" s="263"/>
      <c r="R336" s="264"/>
      <c r="S336" s="267"/>
      <c r="T336" s="267"/>
      <c r="U336" s="267"/>
      <c r="V336" s="262"/>
      <c r="W336" s="262"/>
      <c r="AD336" s="274"/>
      <c r="AE336" s="275"/>
      <c r="AF336" s="275"/>
      <c r="AG336" s="275"/>
      <c r="AH336" s="275"/>
      <c r="AI336" s="275"/>
      <c r="AJ336" s="275"/>
      <c r="AK336" s="275"/>
      <c r="AL336" s="275"/>
      <c r="AM336" s="275"/>
      <c r="AN336" s="275"/>
      <c r="AO336" s="275"/>
      <c r="AP336" s="275"/>
      <c r="AQ336" s="263"/>
      <c r="AR336" s="277"/>
      <c r="AS336" s="264"/>
      <c r="AT336" s="262"/>
    </row>
    <row r="337" ht="15.75" customHeight="1" spans="22:22">
      <c r="V337" s="279"/>
    </row>
    <row r="338" ht="15.75" customHeight="1" spans="22:22">
      <c r="V338" s="279"/>
    </row>
    <row r="339" ht="15.75" customHeight="1" spans="22:22">
      <c r="V339" s="279"/>
    </row>
    <row r="340" ht="15.75" customHeight="1" spans="22:22">
      <c r="V340" s="279"/>
    </row>
    <row r="341" ht="15.75" customHeight="1" spans="22:22">
      <c r="V341" s="279"/>
    </row>
    <row r="342" ht="15.75" customHeight="1" spans="22:22">
      <c r="V342" s="279"/>
    </row>
    <row r="343" ht="15.75" customHeight="1" spans="22:22">
      <c r="V343" s="279"/>
    </row>
    <row r="344" ht="15.75" customHeight="1" spans="22:22">
      <c r="V344" s="279"/>
    </row>
    <row r="345" ht="15.75" customHeight="1" spans="22:22">
      <c r="V345" s="279"/>
    </row>
    <row r="346" ht="15.75" customHeight="1" spans="22:22">
      <c r="V346" s="279"/>
    </row>
    <row r="347" ht="15.75" customHeight="1" spans="22:22">
      <c r="V347" s="279"/>
    </row>
    <row r="348" ht="15.75" customHeight="1" spans="22:22">
      <c r="V348" s="279"/>
    </row>
    <row r="349" ht="15.75" customHeight="1" spans="22:22">
      <c r="V349" s="279"/>
    </row>
    <row r="350" ht="15.75" customHeight="1" spans="22:22">
      <c r="V350" s="279"/>
    </row>
    <row r="351" ht="15.75" customHeight="1" spans="22:22">
      <c r="V351" s="279"/>
    </row>
    <row r="352" ht="15.75" customHeight="1" spans="22:22">
      <c r="V352" s="279"/>
    </row>
    <row r="353" ht="15.75" customHeight="1" spans="22:22">
      <c r="V353" s="279"/>
    </row>
    <row r="354" ht="15.75" customHeight="1" spans="22:22">
      <c r="V354" s="279"/>
    </row>
    <row r="355" ht="15.75" customHeight="1" spans="22:22">
      <c r="V355" s="279"/>
    </row>
    <row r="356" ht="15.75" customHeight="1" spans="22:22">
      <c r="V356" s="279"/>
    </row>
    <row r="357" ht="15.75" customHeight="1" spans="22:22">
      <c r="V357" s="279"/>
    </row>
    <row r="358" ht="15.75" customHeight="1" spans="22:22">
      <c r="V358" s="279"/>
    </row>
    <row r="359" ht="15.75" customHeight="1" spans="22:22">
      <c r="V359" s="279"/>
    </row>
    <row r="360" ht="15.75" customHeight="1" spans="22:22">
      <c r="V360" s="279"/>
    </row>
    <row r="361" ht="15.75" customHeight="1" spans="22:22">
      <c r="V361" s="279"/>
    </row>
    <row r="362" ht="15.75" customHeight="1" spans="22:22">
      <c r="V362" s="279"/>
    </row>
    <row r="363" ht="15.75" customHeight="1" spans="22:22">
      <c r="V363" s="279"/>
    </row>
    <row r="364" ht="15.75" customHeight="1" spans="22:22">
      <c r="V364" s="279"/>
    </row>
    <row r="365" ht="15.75" customHeight="1" spans="22:22">
      <c r="V365" s="279"/>
    </row>
    <row r="366" ht="15.75" customHeight="1" spans="22:22">
      <c r="V366" s="279"/>
    </row>
    <row r="367" ht="15.75" customHeight="1" spans="22:22">
      <c r="V367" s="279"/>
    </row>
    <row r="368" ht="15.75" customHeight="1" spans="22:22">
      <c r="V368" s="279"/>
    </row>
    <row r="369" ht="15.75" customHeight="1" spans="22:22">
      <c r="V369" s="279"/>
    </row>
    <row r="370" ht="15.75" customHeight="1" spans="22:22">
      <c r="V370" s="279"/>
    </row>
    <row r="371" ht="15.75" customHeight="1" spans="22:22">
      <c r="V371" s="279"/>
    </row>
    <row r="372" ht="15.75" customHeight="1" spans="22:22">
      <c r="V372" s="279"/>
    </row>
    <row r="373" ht="15.75" customHeight="1" spans="22:22">
      <c r="V373" s="279"/>
    </row>
    <row r="374" ht="15.75" customHeight="1" spans="22:22">
      <c r="V374" s="279"/>
    </row>
    <row r="375" ht="15.75" customHeight="1" spans="22:22">
      <c r="V375" s="279"/>
    </row>
    <row r="376" ht="15.75" customHeight="1" spans="22:22">
      <c r="V376" s="279"/>
    </row>
    <row r="377" ht="15.75" customHeight="1" spans="22:22">
      <c r="V377" s="279"/>
    </row>
    <row r="378" ht="15.75" customHeight="1" spans="22:22">
      <c r="V378" s="279"/>
    </row>
    <row r="379" ht="15.75" customHeight="1" spans="22:22">
      <c r="V379" s="279"/>
    </row>
    <row r="380" ht="15.75" customHeight="1" spans="22:22">
      <c r="V380" s="279"/>
    </row>
    <row r="381" ht="15.75" customHeight="1" spans="22:22">
      <c r="V381" s="279"/>
    </row>
    <row r="382" ht="15.75" customHeight="1" spans="22:22">
      <c r="V382" s="279"/>
    </row>
    <row r="383" ht="15.75" customHeight="1" spans="22:22">
      <c r="V383" s="279"/>
    </row>
    <row r="384" ht="15.75" customHeight="1" spans="22:22">
      <c r="V384" s="279"/>
    </row>
    <row r="385" ht="15.75" customHeight="1" spans="22:22">
      <c r="V385" s="279"/>
    </row>
    <row r="386" ht="15.75" customHeight="1" spans="22:22">
      <c r="V386" s="279"/>
    </row>
    <row r="387" ht="15.75" customHeight="1" spans="22:22">
      <c r="V387" s="279"/>
    </row>
    <row r="388" ht="15.75" customHeight="1" spans="22:22">
      <c r="V388" s="279"/>
    </row>
    <row r="389" ht="15.75" customHeight="1" spans="22:22">
      <c r="V389" s="279"/>
    </row>
    <row r="390" ht="15.75" customHeight="1" spans="22:22">
      <c r="V390" s="279"/>
    </row>
    <row r="391" ht="15.75" customHeight="1" spans="22:22">
      <c r="V391" s="279"/>
    </row>
    <row r="392" ht="15.75" customHeight="1" spans="22:22">
      <c r="V392" s="279"/>
    </row>
    <row r="393" ht="15.75" customHeight="1" spans="22:22">
      <c r="V393" s="279"/>
    </row>
    <row r="394" ht="15.75" customHeight="1" spans="22:22">
      <c r="V394" s="279"/>
    </row>
    <row r="395" ht="15.75" customHeight="1" spans="22:22">
      <c r="V395" s="279"/>
    </row>
    <row r="396" ht="15.75" customHeight="1" spans="22:22">
      <c r="V396" s="279"/>
    </row>
    <row r="397" ht="15.75" customHeight="1" spans="22:22">
      <c r="V397" s="279"/>
    </row>
    <row r="398" ht="15.75" customHeight="1" spans="22:22">
      <c r="V398" s="279"/>
    </row>
    <row r="399" ht="15.75" customHeight="1" spans="22:22">
      <c r="V399" s="279"/>
    </row>
    <row r="400" ht="15.75" customHeight="1" spans="22:22">
      <c r="V400" s="279"/>
    </row>
    <row r="401" ht="15.75" customHeight="1" spans="22:22">
      <c r="V401" s="279"/>
    </row>
    <row r="402" ht="15.75" customHeight="1" spans="22:22">
      <c r="V402" s="279"/>
    </row>
    <row r="403" ht="15.75" customHeight="1" spans="22:22">
      <c r="V403" s="279"/>
    </row>
    <row r="404" ht="15.75" customHeight="1" spans="22:22">
      <c r="V404" s="279"/>
    </row>
    <row r="405" ht="15.75" customHeight="1" spans="22:22">
      <c r="V405" s="279"/>
    </row>
    <row r="406" ht="15.75" customHeight="1" spans="22:22">
      <c r="V406" s="279"/>
    </row>
    <row r="407" ht="15.75" customHeight="1" spans="22:22">
      <c r="V407" s="279"/>
    </row>
    <row r="408" ht="15.75" customHeight="1" spans="22:22">
      <c r="V408" s="279"/>
    </row>
    <row r="409" ht="15.75" customHeight="1" spans="22:22">
      <c r="V409" s="279"/>
    </row>
    <row r="410" ht="15.75" customHeight="1" spans="22:22">
      <c r="V410" s="279"/>
    </row>
    <row r="411" ht="15.75" customHeight="1" spans="22:22">
      <c r="V411" s="279"/>
    </row>
    <row r="412" ht="15.75" customHeight="1" spans="22:22">
      <c r="V412" s="279"/>
    </row>
    <row r="413" ht="15.75" customHeight="1" spans="22:22">
      <c r="V413" s="279"/>
    </row>
    <row r="414" ht="15.75" customHeight="1" spans="22:22">
      <c r="V414" s="279"/>
    </row>
    <row r="415" ht="15.75" customHeight="1" spans="22:22">
      <c r="V415" s="279"/>
    </row>
    <row r="416" ht="15.75" customHeight="1" spans="22:22">
      <c r="V416" s="279"/>
    </row>
    <row r="417" ht="15.75" customHeight="1" spans="22:22">
      <c r="V417" s="279"/>
    </row>
    <row r="418" ht="15.75" customHeight="1" spans="22:22">
      <c r="V418" s="279"/>
    </row>
    <row r="419" ht="15.75" customHeight="1" spans="22:22">
      <c r="V419" s="279"/>
    </row>
    <row r="420" ht="15.75" customHeight="1" spans="22:22">
      <c r="V420" s="279"/>
    </row>
    <row r="421" ht="15.75" customHeight="1" spans="22:22">
      <c r="V421" s="279"/>
    </row>
    <row r="422" ht="15.75" customHeight="1" spans="22:22">
      <c r="V422" s="279"/>
    </row>
    <row r="423" ht="15.75" customHeight="1" spans="22:22">
      <c r="V423" s="279"/>
    </row>
    <row r="424" ht="15.75" customHeight="1" spans="22:22">
      <c r="V424" s="279"/>
    </row>
    <row r="425" ht="15.75" customHeight="1" spans="22:22">
      <c r="V425" s="279"/>
    </row>
    <row r="426" ht="15.75" customHeight="1" spans="22:22">
      <c r="V426" s="279"/>
    </row>
    <row r="427" ht="15.75" customHeight="1" spans="22:22">
      <c r="V427" s="279"/>
    </row>
    <row r="428" ht="15.75" customHeight="1" spans="22:22">
      <c r="V428" s="279"/>
    </row>
    <row r="429" ht="15.75" customHeight="1" spans="22:22">
      <c r="V429" s="279"/>
    </row>
    <row r="430" ht="15.75" customHeight="1" spans="22:22">
      <c r="V430" s="279"/>
    </row>
    <row r="431" ht="15.75" customHeight="1" spans="22:22">
      <c r="V431" s="279"/>
    </row>
    <row r="432" ht="15.75" customHeight="1" spans="22:22">
      <c r="V432" s="279"/>
    </row>
    <row r="433" ht="15.75" customHeight="1" spans="22:22">
      <c r="V433" s="279"/>
    </row>
    <row r="434" ht="15.75" customHeight="1" spans="22:22">
      <c r="V434" s="279"/>
    </row>
    <row r="435" ht="15.75" customHeight="1" spans="22:22">
      <c r="V435" s="279"/>
    </row>
    <row r="436" ht="15.75" customHeight="1" spans="22:22">
      <c r="V436" s="279"/>
    </row>
    <row r="437" ht="15.75" customHeight="1" spans="22:22">
      <c r="V437" s="279"/>
    </row>
    <row r="438" ht="15.75" customHeight="1" spans="22:22">
      <c r="V438" s="279"/>
    </row>
    <row r="439" ht="15.75" customHeight="1" spans="22:22">
      <c r="V439" s="279"/>
    </row>
    <row r="440" ht="15.75" customHeight="1" spans="22:22">
      <c r="V440" s="279"/>
    </row>
    <row r="441" ht="15.75" customHeight="1" spans="22:22">
      <c r="V441" s="279"/>
    </row>
    <row r="442" ht="15.75" customHeight="1" spans="22:22">
      <c r="V442" s="279"/>
    </row>
    <row r="443" ht="15.75" customHeight="1" spans="22:22">
      <c r="V443" s="279"/>
    </row>
    <row r="444" ht="15.75" customHeight="1" spans="22:22">
      <c r="V444" s="279"/>
    </row>
    <row r="445" ht="15.75" customHeight="1" spans="22:22">
      <c r="V445" s="279"/>
    </row>
    <row r="446" ht="15.75" customHeight="1" spans="22:22">
      <c r="V446" s="279"/>
    </row>
    <row r="447" ht="15.75" customHeight="1" spans="22:22">
      <c r="V447" s="279"/>
    </row>
    <row r="448" ht="15.75" customHeight="1" spans="22:22">
      <c r="V448" s="279"/>
    </row>
    <row r="449" ht="15.75" customHeight="1" spans="22:22">
      <c r="V449" s="279"/>
    </row>
    <row r="450" ht="15.75" customHeight="1" spans="22:22">
      <c r="V450" s="279"/>
    </row>
    <row r="451" ht="15.75" customHeight="1" spans="22:22">
      <c r="V451" s="279"/>
    </row>
    <row r="452" ht="15.75" customHeight="1" spans="22:22">
      <c r="V452" s="279"/>
    </row>
    <row r="453" ht="15.75" customHeight="1" spans="22:22">
      <c r="V453" s="279"/>
    </row>
    <row r="454" ht="15.75" customHeight="1" spans="22:22">
      <c r="V454" s="279"/>
    </row>
    <row r="455" ht="15.75" customHeight="1" spans="22:22">
      <c r="V455" s="279"/>
    </row>
    <row r="456" ht="15.75" customHeight="1" spans="22:22">
      <c r="V456" s="279"/>
    </row>
    <row r="457" ht="15.75" customHeight="1" spans="22:22">
      <c r="V457" s="279"/>
    </row>
    <row r="458" ht="15.75" customHeight="1" spans="22:22">
      <c r="V458" s="279"/>
    </row>
    <row r="459" ht="15.75" customHeight="1" spans="22:22">
      <c r="V459" s="279"/>
    </row>
    <row r="460" ht="15.75" customHeight="1" spans="22:22">
      <c r="V460" s="279"/>
    </row>
    <row r="461" ht="15.75" customHeight="1" spans="22:22">
      <c r="V461" s="279"/>
    </row>
    <row r="462" ht="15.75" customHeight="1" spans="22:22">
      <c r="V462" s="279"/>
    </row>
    <row r="463" ht="15.75" customHeight="1" spans="22:22">
      <c r="V463" s="279"/>
    </row>
    <row r="464" ht="15.75" customHeight="1" spans="22:22">
      <c r="V464" s="279"/>
    </row>
    <row r="465" ht="15.75" customHeight="1" spans="22:22">
      <c r="V465" s="279"/>
    </row>
    <row r="466" ht="15.75" customHeight="1" spans="22:22">
      <c r="V466" s="279"/>
    </row>
    <row r="467" ht="15.75" customHeight="1" spans="22:22">
      <c r="V467" s="279"/>
    </row>
    <row r="468" ht="15.75" customHeight="1" spans="22:22">
      <c r="V468" s="279"/>
    </row>
    <row r="469" ht="15.75" customHeight="1" spans="22:22">
      <c r="V469" s="279"/>
    </row>
    <row r="470" ht="15.75" customHeight="1" spans="22:22">
      <c r="V470" s="279"/>
    </row>
    <row r="471" ht="15.75" customHeight="1" spans="22:22">
      <c r="V471" s="279"/>
    </row>
    <row r="472" ht="15.75" customHeight="1" spans="22:22">
      <c r="V472" s="279"/>
    </row>
    <row r="473" ht="15.75" customHeight="1" spans="22:22">
      <c r="V473" s="279"/>
    </row>
    <row r="474" ht="15.75" customHeight="1" spans="22:22">
      <c r="V474" s="279"/>
    </row>
    <row r="475" ht="15.75" customHeight="1" spans="22:22">
      <c r="V475" s="279"/>
    </row>
    <row r="476" ht="15.75" customHeight="1" spans="22:22">
      <c r="V476" s="279"/>
    </row>
    <row r="477" ht="15.75" customHeight="1" spans="22:22">
      <c r="V477" s="279"/>
    </row>
    <row r="478" ht="15.75" customHeight="1" spans="22:22">
      <c r="V478" s="279"/>
    </row>
    <row r="479" ht="15.75" customHeight="1" spans="22:22">
      <c r="V479" s="279"/>
    </row>
    <row r="480" ht="15.75" customHeight="1" spans="22:22">
      <c r="V480" s="279"/>
    </row>
    <row r="481" ht="15.75" customHeight="1" spans="22:22">
      <c r="V481" s="279"/>
    </row>
    <row r="482" ht="15.75" customHeight="1" spans="22:22">
      <c r="V482" s="279"/>
    </row>
    <row r="483" ht="15.75" customHeight="1" spans="22:22">
      <c r="V483" s="279"/>
    </row>
    <row r="484" ht="15.75" customHeight="1" spans="22:22">
      <c r="V484" s="279"/>
    </row>
    <row r="485" ht="15.75" customHeight="1" spans="22:22">
      <c r="V485" s="279"/>
    </row>
    <row r="486" ht="15.75" customHeight="1" spans="22:22">
      <c r="V486" s="279"/>
    </row>
    <row r="487" ht="15.75" customHeight="1" spans="22:22">
      <c r="V487" s="279"/>
    </row>
    <row r="488" ht="15.75" customHeight="1" spans="22:22">
      <c r="V488" s="279"/>
    </row>
    <row r="489" ht="15.75" customHeight="1" spans="22:22">
      <c r="V489" s="279"/>
    </row>
    <row r="490" ht="15.75" customHeight="1" spans="22:22">
      <c r="V490" s="279"/>
    </row>
    <row r="491" ht="15.75" customHeight="1" spans="22:22">
      <c r="V491" s="279"/>
    </row>
    <row r="492" ht="15.75" customHeight="1" spans="22:22">
      <c r="V492" s="279"/>
    </row>
    <row r="493" ht="15.75" customHeight="1" spans="22:22">
      <c r="V493" s="279"/>
    </row>
    <row r="494" ht="15.75" customHeight="1" spans="22:22">
      <c r="V494" s="279"/>
    </row>
    <row r="495" ht="15.75" customHeight="1" spans="22:22">
      <c r="V495" s="279"/>
    </row>
    <row r="496" ht="15.75" customHeight="1" spans="22:22">
      <c r="V496" s="279"/>
    </row>
    <row r="497" ht="15.75" customHeight="1" spans="22:22">
      <c r="V497" s="279"/>
    </row>
    <row r="498" ht="15.75" customHeight="1" spans="22:22">
      <c r="V498" s="279"/>
    </row>
    <row r="499" ht="15.75" customHeight="1" spans="22:22">
      <c r="V499" s="279"/>
    </row>
    <row r="500" ht="15.75" customHeight="1" spans="22:22">
      <c r="V500" s="279"/>
    </row>
    <row r="501" ht="15.75" customHeight="1" spans="22:22">
      <c r="V501" s="279"/>
    </row>
    <row r="502" ht="15.75" customHeight="1" spans="22:22">
      <c r="V502" s="279"/>
    </row>
    <row r="503" ht="15.75" customHeight="1" spans="22:22">
      <c r="V503" s="279"/>
    </row>
    <row r="504" ht="15.75" customHeight="1" spans="22:22">
      <c r="V504" s="279"/>
    </row>
    <row r="505" ht="15.75" customHeight="1" spans="22:22">
      <c r="V505" s="279"/>
    </row>
    <row r="506" ht="15.75" customHeight="1" spans="22:22">
      <c r="V506" s="279"/>
    </row>
    <row r="507" ht="15.75" customHeight="1" spans="22:22">
      <c r="V507" s="279"/>
    </row>
    <row r="508" ht="15.75" customHeight="1" spans="22:22">
      <c r="V508" s="279"/>
    </row>
    <row r="509" ht="15.75" customHeight="1" spans="22:22">
      <c r="V509" s="279"/>
    </row>
    <row r="510" ht="15.75" customHeight="1" spans="22:22">
      <c r="V510" s="279"/>
    </row>
    <row r="511" ht="15.75" customHeight="1" spans="22:22">
      <c r="V511" s="279"/>
    </row>
    <row r="512" ht="15.75" customHeight="1" spans="22:22">
      <c r="V512" s="279"/>
    </row>
    <row r="513" ht="15.75" customHeight="1" spans="22:22">
      <c r="V513" s="279"/>
    </row>
    <row r="514" ht="15.75" customHeight="1" spans="22:22">
      <c r="V514" s="279"/>
    </row>
    <row r="515" ht="15.75" customHeight="1" spans="22:22">
      <c r="V515" s="279"/>
    </row>
    <row r="516" ht="15.75" customHeight="1" spans="22:22">
      <c r="V516" s="279"/>
    </row>
    <row r="517" ht="15.75" customHeight="1" spans="22:22">
      <c r="V517" s="279"/>
    </row>
    <row r="518" ht="15.75" customHeight="1" spans="22:22">
      <c r="V518" s="279"/>
    </row>
    <row r="519" ht="15.75" customHeight="1" spans="22:22">
      <c r="V519" s="279"/>
    </row>
    <row r="520" ht="15.75" customHeight="1" spans="22:22">
      <c r="V520" s="279"/>
    </row>
    <row r="521" ht="15.75" customHeight="1" spans="22:22">
      <c r="V521" s="279"/>
    </row>
    <row r="522" ht="15.75" customHeight="1" spans="22:22">
      <c r="V522" s="279"/>
    </row>
    <row r="523" ht="15.75" customHeight="1" spans="22:22">
      <c r="V523" s="279"/>
    </row>
    <row r="524" ht="15.75" customHeight="1" spans="22:22">
      <c r="V524" s="279"/>
    </row>
    <row r="525" ht="15.75" customHeight="1" spans="22:22">
      <c r="V525" s="279"/>
    </row>
    <row r="526" ht="15.75" customHeight="1" spans="22:22">
      <c r="V526" s="279"/>
    </row>
    <row r="527" ht="15.75" customHeight="1" spans="22:22">
      <c r="V527" s="279"/>
    </row>
    <row r="528" ht="15.75" customHeight="1" spans="22:22">
      <c r="V528" s="279"/>
    </row>
    <row r="529" ht="15.75" customHeight="1" spans="22:22">
      <c r="V529" s="279"/>
    </row>
    <row r="530" ht="15.75" customHeight="1" spans="22:22">
      <c r="V530" s="279"/>
    </row>
    <row r="531" ht="15.75" customHeight="1" spans="22:22">
      <c r="V531" s="279"/>
    </row>
    <row r="532" ht="15.75" customHeight="1" spans="22:22">
      <c r="V532" s="279"/>
    </row>
    <row r="533" ht="15.75" customHeight="1" spans="22:22">
      <c r="V533" s="279"/>
    </row>
    <row r="534" ht="15.75" customHeight="1" spans="22:22">
      <c r="V534" s="279"/>
    </row>
    <row r="535" ht="15.75" customHeight="1" spans="22:22">
      <c r="V535" s="279"/>
    </row>
    <row r="536" ht="15.75" customHeight="1" spans="22:22">
      <c r="V536" s="279"/>
    </row>
    <row r="537" ht="15.75" customHeight="1" spans="22:22">
      <c r="V537" s="279"/>
    </row>
    <row r="538" ht="15.75" customHeight="1" spans="22:22">
      <c r="V538" s="279"/>
    </row>
    <row r="539" ht="15.75" customHeight="1" spans="22:22">
      <c r="V539" s="279"/>
    </row>
    <row r="540" ht="15.75" customHeight="1" spans="22:22">
      <c r="V540" s="279"/>
    </row>
    <row r="541" ht="15.75" customHeight="1" spans="22:22">
      <c r="V541" s="279"/>
    </row>
    <row r="542" ht="15.75" customHeight="1" spans="22:22">
      <c r="V542" s="279"/>
    </row>
    <row r="543" ht="15.75" customHeight="1" spans="22:22">
      <c r="V543" s="279"/>
    </row>
    <row r="544" ht="15.75" customHeight="1" spans="22:22">
      <c r="V544" s="279"/>
    </row>
    <row r="545" ht="15.75" customHeight="1" spans="22:22">
      <c r="V545" s="279"/>
    </row>
    <row r="546" ht="15.75" customHeight="1" spans="22:22">
      <c r="V546" s="279"/>
    </row>
    <row r="547" ht="15.75" customHeight="1" spans="22:22">
      <c r="V547" s="279"/>
    </row>
    <row r="548" ht="15.75" customHeight="1" spans="22:22">
      <c r="V548" s="279"/>
    </row>
    <row r="549" ht="15.75" customHeight="1" spans="22:22">
      <c r="V549" s="279"/>
    </row>
    <row r="550" ht="15.75" customHeight="1" spans="22:22">
      <c r="V550" s="279"/>
    </row>
    <row r="551" ht="15.75" customHeight="1" spans="22:22">
      <c r="V551" s="279"/>
    </row>
    <row r="552" ht="15.75" customHeight="1" spans="22:22">
      <c r="V552" s="279"/>
    </row>
    <row r="553" ht="15.75" customHeight="1" spans="22:22">
      <c r="V553" s="279"/>
    </row>
    <row r="554" ht="15.75" customHeight="1" spans="22:22">
      <c r="V554" s="279"/>
    </row>
    <row r="555" ht="15.75" customHeight="1" spans="22:22">
      <c r="V555" s="279"/>
    </row>
    <row r="556" ht="15.75" customHeight="1" spans="22:22">
      <c r="V556" s="279"/>
    </row>
    <row r="557" ht="15.75" customHeight="1" spans="22:22">
      <c r="V557" s="279"/>
    </row>
    <row r="558" ht="15.75" customHeight="1" spans="22:22">
      <c r="V558" s="279"/>
    </row>
    <row r="559" ht="15.75" customHeight="1" spans="22:22">
      <c r="V559" s="279"/>
    </row>
    <row r="560" ht="15.75" customHeight="1" spans="22:22">
      <c r="V560" s="279"/>
    </row>
    <row r="561" ht="15.75" customHeight="1" spans="22:22">
      <c r="V561" s="279"/>
    </row>
    <row r="562" ht="15.75" customHeight="1" spans="22:22">
      <c r="V562" s="279"/>
    </row>
    <row r="563" ht="15.75" customHeight="1" spans="22:22">
      <c r="V563" s="279"/>
    </row>
    <row r="564" ht="15.75" customHeight="1" spans="22:22">
      <c r="V564" s="279"/>
    </row>
    <row r="565" ht="15.75" customHeight="1" spans="22:22">
      <c r="V565" s="279"/>
    </row>
    <row r="566" ht="15.75" customHeight="1" spans="22:22">
      <c r="V566" s="279"/>
    </row>
    <row r="567" ht="15.75" customHeight="1" spans="22:22">
      <c r="V567" s="279"/>
    </row>
    <row r="568" ht="15.75" customHeight="1" spans="22:22">
      <c r="V568" s="279"/>
    </row>
    <row r="569" ht="15.75" customHeight="1" spans="22:22">
      <c r="V569" s="279"/>
    </row>
    <row r="570" ht="15.75" customHeight="1" spans="22:22">
      <c r="V570" s="279"/>
    </row>
    <row r="571" ht="15.75" customHeight="1" spans="22:22">
      <c r="V571" s="279"/>
    </row>
    <row r="572" ht="15.75" customHeight="1" spans="22:22">
      <c r="V572" s="279"/>
    </row>
    <row r="573" ht="15.75" customHeight="1" spans="22:22">
      <c r="V573" s="279"/>
    </row>
    <row r="574" ht="15.75" customHeight="1" spans="22:22">
      <c r="V574" s="279"/>
    </row>
    <row r="575" ht="15.75" customHeight="1" spans="22:22">
      <c r="V575" s="279"/>
    </row>
    <row r="576" ht="15.75" customHeight="1" spans="22:22">
      <c r="V576" s="279"/>
    </row>
    <row r="577" ht="15.75" customHeight="1" spans="22:22">
      <c r="V577" s="279"/>
    </row>
    <row r="578" ht="15.75" customHeight="1" spans="22:22">
      <c r="V578" s="279"/>
    </row>
    <row r="579" ht="15.75" customHeight="1" spans="22:22">
      <c r="V579" s="279"/>
    </row>
    <row r="580" ht="15.75" customHeight="1" spans="22:22">
      <c r="V580" s="279"/>
    </row>
    <row r="581" ht="15.75" customHeight="1" spans="22:22">
      <c r="V581" s="279"/>
    </row>
    <row r="582" ht="15.75" customHeight="1" spans="22:22">
      <c r="V582" s="279"/>
    </row>
    <row r="583" ht="15.75" customHeight="1" spans="22:22">
      <c r="V583" s="279"/>
    </row>
    <row r="584" ht="15.75" customHeight="1" spans="22:22">
      <c r="V584" s="279"/>
    </row>
    <row r="585" ht="15.75" customHeight="1" spans="22:22">
      <c r="V585" s="279"/>
    </row>
    <row r="586" ht="15.75" customHeight="1" spans="22:22">
      <c r="V586" s="279"/>
    </row>
    <row r="587" ht="15.75" customHeight="1" spans="22:22">
      <c r="V587" s="279"/>
    </row>
    <row r="588" ht="15.75" customHeight="1" spans="22:22">
      <c r="V588" s="279"/>
    </row>
    <row r="589" ht="15.75" customHeight="1" spans="22:22">
      <c r="V589" s="279"/>
    </row>
    <row r="590" ht="15.75" customHeight="1" spans="22:22">
      <c r="V590" s="279"/>
    </row>
    <row r="591" ht="15.75" customHeight="1" spans="22:22">
      <c r="V591" s="279"/>
    </row>
    <row r="592" ht="15.75" customHeight="1" spans="22:22">
      <c r="V592" s="279"/>
    </row>
    <row r="593" ht="15.75" customHeight="1" spans="22:22">
      <c r="V593" s="279"/>
    </row>
    <row r="594" ht="15.75" customHeight="1" spans="22:22">
      <c r="V594" s="279"/>
    </row>
    <row r="595" ht="15.75" customHeight="1" spans="22:22">
      <c r="V595" s="279"/>
    </row>
    <row r="596" ht="15.75" customHeight="1" spans="22:22">
      <c r="V596" s="279"/>
    </row>
    <row r="597" ht="15.75" customHeight="1" spans="22:22">
      <c r="V597" s="279"/>
    </row>
    <row r="598" ht="15.75" customHeight="1" spans="22:22">
      <c r="V598" s="279"/>
    </row>
    <row r="599" ht="15.75" customHeight="1" spans="22:22">
      <c r="V599" s="279"/>
    </row>
    <row r="600" ht="15.75" customHeight="1" spans="22:22">
      <c r="V600" s="279"/>
    </row>
    <row r="601" ht="15.75" customHeight="1" spans="22:22">
      <c r="V601" s="279"/>
    </row>
    <row r="602" ht="15.75" customHeight="1" spans="22:22">
      <c r="V602" s="279"/>
    </row>
    <row r="603" ht="15.75" customHeight="1" spans="22:22">
      <c r="V603" s="279"/>
    </row>
    <row r="604" ht="15.75" customHeight="1" spans="22:22">
      <c r="V604" s="279"/>
    </row>
    <row r="605" ht="15.75" customHeight="1" spans="22:22">
      <c r="V605" s="279"/>
    </row>
    <row r="606" ht="15.75" customHeight="1" spans="22:22">
      <c r="V606" s="279"/>
    </row>
    <row r="607" ht="15.75" customHeight="1" spans="22:22">
      <c r="V607" s="279"/>
    </row>
    <row r="608" ht="15.75" customHeight="1" spans="22:22">
      <c r="V608" s="279"/>
    </row>
    <row r="609" ht="15.75" customHeight="1" spans="22:22">
      <c r="V609" s="279"/>
    </row>
    <row r="610" ht="15.75" customHeight="1" spans="22:22">
      <c r="V610" s="279"/>
    </row>
    <row r="611" ht="15.75" customHeight="1" spans="22:22">
      <c r="V611" s="279"/>
    </row>
    <row r="612" ht="15.75" customHeight="1" spans="22:22">
      <c r="V612" s="279"/>
    </row>
    <row r="613" ht="15.75" customHeight="1" spans="22:22">
      <c r="V613" s="279"/>
    </row>
    <row r="614" ht="15.75" customHeight="1" spans="22:22">
      <c r="V614" s="279"/>
    </row>
    <row r="615" ht="15.75" customHeight="1" spans="22:22">
      <c r="V615" s="279"/>
    </row>
    <row r="616" ht="15.75" customHeight="1" spans="22:22">
      <c r="V616" s="279"/>
    </row>
    <row r="617" ht="15.75" customHeight="1" spans="22:22">
      <c r="V617" s="279"/>
    </row>
    <row r="618" ht="15.75" customHeight="1" spans="22:22">
      <c r="V618" s="279"/>
    </row>
    <row r="619" ht="15.75" customHeight="1" spans="22:22">
      <c r="V619" s="279"/>
    </row>
    <row r="620" ht="15.75" customHeight="1" spans="22:22">
      <c r="V620" s="279"/>
    </row>
    <row r="621" ht="15.75" customHeight="1" spans="22:22">
      <c r="V621" s="279"/>
    </row>
    <row r="622" ht="15.75" customHeight="1" spans="22:22">
      <c r="V622" s="279"/>
    </row>
    <row r="623" ht="15.75" customHeight="1" spans="22:22">
      <c r="V623" s="279"/>
    </row>
    <row r="624" ht="15.75" customHeight="1" spans="22:22">
      <c r="V624" s="279"/>
    </row>
    <row r="625" ht="15.75" customHeight="1" spans="22:22">
      <c r="V625" s="279"/>
    </row>
    <row r="626" ht="15.75" customHeight="1" spans="22:22">
      <c r="V626" s="279"/>
    </row>
    <row r="627" ht="15.75" customHeight="1" spans="22:22">
      <c r="V627" s="279"/>
    </row>
    <row r="628" ht="15.75" customHeight="1" spans="22:22">
      <c r="V628" s="279"/>
    </row>
    <row r="629" ht="15.75" customHeight="1" spans="22:22">
      <c r="V629" s="279"/>
    </row>
    <row r="630" ht="15.75" customHeight="1" spans="22:22">
      <c r="V630" s="279"/>
    </row>
    <row r="631" ht="15.75" customHeight="1" spans="22:22">
      <c r="V631" s="279"/>
    </row>
    <row r="632" ht="15.75" customHeight="1" spans="22:22">
      <c r="V632" s="279"/>
    </row>
    <row r="633" ht="15.75" customHeight="1" spans="22:22">
      <c r="V633" s="279"/>
    </row>
    <row r="634" ht="15.75" customHeight="1" spans="22:22">
      <c r="V634" s="279"/>
    </row>
    <row r="635" ht="15.75" customHeight="1" spans="22:22">
      <c r="V635" s="279"/>
    </row>
    <row r="636" ht="15.75" customHeight="1" spans="22:22">
      <c r="V636" s="279"/>
    </row>
    <row r="637" ht="15.75" customHeight="1" spans="22:22">
      <c r="V637" s="279"/>
    </row>
    <row r="638" ht="15.75" customHeight="1" spans="22:22">
      <c r="V638" s="279"/>
    </row>
    <row r="639" ht="15.75" customHeight="1" spans="22:22">
      <c r="V639" s="279"/>
    </row>
    <row r="640" ht="15.75" customHeight="1" spans="22:22">
      <c r="V640" s="279"/>
    </row>
    <row r="641" ht="15.75" customHeight="1" spans="22:22">
      <c r="V641" s="279"/>
    </row>
    <row r="642" ht="15.75" customHeight="1" spans="22:22">
      <c r="V642" s="279"/>
    </row>
    <row r="643" ht="15.75" customHeight="1" spans="22:22">
      <c r="V643" s="279"/>
    </row>
    <row r="644" ht="15.75" customHeight="1" spans="22:22">
      <c r="V644" s="279"/>
    </row>
    <row r="645" ht="15.75" customHeight="1" spans="22:22">
      <c r="V645" s="279"/>
    </row>
    <row r="646" ht="15.75" customHeight="1" spans="22:22">
      <c r="V646" s="279"/>
    </row>
    <row r="647" ht="15.75" customHeight="1" spans="22:22">
      <c r="V647" s="279"/>
    </row>
    <row r="648" ht="15.75" customHeight="1" spans="22:22">
      <c r="V648" s="279"/>
    </row>
    <row r="649" ht="15.75" customHeight="1" spans="22:22">
      <c r="V649" s="279"/>
    </row>
    <row r="650" ht="15.75" customHeight="1" spans="22:22">
      <c r="V650" s="279"/>
    </row>
    <row r="651" ht="15.75" customHeight="1" spans="22:22">
      <c r="V651" s="279"/>
    </row>
    <row r="652" ht="15.75" customHeight="1" spans="22:22">
      <c r="V652" s="279"/>
    </row>
    <row r="653" ht="15.75" customHeight="1" spans="22:22">
      <c r="V653" s="279"/>
    </row>
    <row r="654" ht="15.75" customHeight="1" spans="22:22">
      <c r="V654" s="279"/>
    </row>
    <row r="655" ht="15.75" customHeight="1" spans="22:22">
      <c r="V655" s="279"/>
    </row>
    <row r="656" ht="15.75" customHeight="1" spans="22:22">
      <c r="V656" s="279"/>
    </row>
    <row r="657" ht="15.75" customHeight="1" spans="22:22">
      <c r="V657" s="279"/>
    </row>
    <row r="658" ht="15.75" customHeight="1" spans="22:22">
      <c r="V658" s="279"/>
    </row>
    <row r="659" ht="15.75" customHeight="1" spans="22:22">
      <c r="V659" s="279"/>
    </row>
    <row r="660" ht="15.75" customHeight="1" spans="22:22">
      <c r="V660" s="279"/>
    </row>
    <row r="661" ht="15.75" customHeight="1" spans="22:22">
      <c r="V661" s="279"/>
    </row>
    <row r="662" ht="15.75" customHeight="1" spans="22:22">
      <c r="V662" s="279"/>
    </row>
    <row r="663" ht="15.75" customHeight="1" spans="22:22">
      <c r="V663" s="279"/>
    </row>
    <row r="664" ht="15.75" customHeight="1" spans="22:22">
      <c r="V664" s="279"/>
    </row>
    <row r="665" ht="15.75" customHeight="1" spans="22:22">
      <c r="V665" s="279"/>
    </row>
    <row r="666" ht="15.75" customHeight="1" spans="22:22">
      <c r="V666" s="279"/>
    </row>
    <row r="667" ht="15.75" customHeight="1" spans="22:22">
      <c r="V667" s="279"/>
    </row>
    <row r="668" ht="15.75" customHeight="1" spans="22:22">
      <c r="V668" s="279"/>
    </row>
    <row r="669" ht="15.75" customHeight="1" spans="22:22">
      <c r="V669" s="279"/>
    </row>
    <row r="670" ht="15.75" customHeight="1" spans="22:22">
      <c r="V670" s="279"/>
    </row>
    <row r="671" ht="15.75" customHeight="1" spans="22:22">
      <c r="V671" s="279"/>
    </row>
    <row r="672" ht="15.75" customHeight="1" spans="22:22">
      <c r="V672" s="279"/>
    </row>
    <row r="673" ht="15.75" customHeight="1" spans="22:22">
      <c r="V673" s="279"/>
    </row>
    <row r="674" ht="15.75" customHeight="1" spans="22:22">
      <c r="V674" s="279"/>
    </row>
    <row r="675" ht="15.75" customHeight="1" spans="22:22">
      <c r="V675" s="279"/>
    </row>
    <row r="676" ht="15.75" customHeight="1" spans="22:22">
      <c r="V676" s="279"/>
    </row>
    <row r="677" ht="15.75" customHeight="1" spans="22:22">
      <c r="V677" s="279"/>
    </row>
    <row r="678" ht="15.75" customHeight="1" spans="22:22">
      <c r="V678" s="279"/>
    </row>
    <row r="679" ht="15.75" customHeight="1" spans="22:22">
      <c r="V679" s="279"/>
    </row>
    <row r="680" ht="15.75" customHeight="1" spans="22:22">
      <c r="V680" s="279"/>
    </row>
    <row r="681" ht="15.75" customHeight="1" spans="22:22">
      <c r="V681" s="279"/>
    </row>
    <row r="682" ht="15.75" customHeight="1" spans="22:22">
      <c r="V682" s="279"/>
    </row>
    <row r="683" ht="15.75" customHeight="1" spans="22:22">
      <c r="V683" s="279"/>
    </row>
    <row r="684" ht="15.75" customHeight="1" spans="22:22">
      <c r="V684" s="279"/>
    </row>
    <row r="685" ht="15.75" customHeight="1" spans="22:22">
      <c r="V685" s="279"/>
    </row>
    <row r="686" ht="15.75" customHeight="1" spans="22:22">
      <c r="V686" s="279"/>
    </row>
    <row r="687" ht="15.75" customHeight="1" spans="22:22">
      <c r="V687" s="279"/>
    </row>
    <row r="688" ht="15.75" customHeight="1" spans="22:22">
      <c r="V688" s="279"/>
    </row>
    <row r="689" ht="15.75" customHeight="1" spans="22:22">
      <c r="V689" s="279"/>
    </row>
    <row r="690" ht="15.75" customHeight="1" spans="22:22">
      <c r="V690" s="279"/>
    </row>
    <row r="691" ht="15.75" customHeight="1" spans="22:22">
      <c r="V691" s="279"/>
    </row>
    <row r="692" ht="15.75" customHeight="1" spans="22:22">
      <c r="V692" s="279"/>
    </row>
    <row r="693" ht="15.75" customHeight="1" spans="22:22">
      <c r="V693" s="279"/>
    </row>
    <row r="694" ht="15.75" customHeight="1" spans="22:22">
      <c r="V694" s="279"/>
    </row>
    <row r="695" ht="15.75" customHeight="1" spans="22:22">
      <c r="V695" s="279"/>
    </row>
    <row r="696" ht="15.75" customHeight="1" spans="22:22">
      <c r="V696" s="279"/>
    </row>
    <row r="697" ht="15.75" customHeight="1" spans="22:22">
      <c r="V697" s="279"/>
    </row>
    <row r="698" ht="15.75" customHeight="1" spans="22:22">
      <c r="V698" s="279"/>
    </row>
    <row r="699" ht="15.75" customHeight="1" spans="22:22">
      <c r="V699" s="279"/>
    </row>
    <row r="700" ht="15.75" customHeight="1" spans="22:22">
      <c r="V700" s="279"/>
    </row>
    <row r="701" ht="15.75" customHeight="1" spans="22:22">
      <c r="V701" s="279"/>
    </row>
    <row r="702" ht="15.75" customHeight="1" spans="22:22">
      <c r="V702" s="279"/>
    </row>
    <row r="703" ht="15.75" customHeight="1" spans="22:22">
      <c r="V703" s="279"/>
    </row>
    <row r="704" ht="15.75" customHeight="1" spans="22:22">
      <c r="V704" s="279"/>
    </row>
    <row r="705" ht="15.75" customHeight="1" spans="22:22">
      <c r="V705" s="279"/>
    </row>
    <row r="706" ht="15.75" customHeight="1" spans="22:22">
      <c r="V706" s="279"/>
    </row>
    <row r="707" ht="15.75" customHeight="1" spans="22:22">
      <c r="V707" s="279"/>
    </row>
    <row r="708" ht="15.75" customHeight="1" spans="22:22">
      <c r="V708" s="279"/>
    </row>
    <row r="709" ht="15.75" customHeight="1" spans="22:22">
      <c r="V709" s="279"/>
    </row>
    <row r="710" ht="15.75" customHeight="1" spans="22:22">
      <c r="V710" s="279"/>
    </row>
    <row r="711" ht="15.75" customHeight="1" spans="22:22">
      <c r="V711" s="279"/>
    </row>
    <row r="712" ht="15.75" customHeight="1" spans="22:22">
      <c r="V712" s="279"/>
    </row>
    <row r="713" ht="15.75" customHeight="1" spans="22:22">
      <c r="V713" s="279"/>
    </row>
    <row r="714" ht="15.75" customHeight="1" spans="22:22">
      <c r="V714" s="279"/>
    </row>
    <row r="715" ht="15.75" customHeight="1" spans="22:22">
      <c r="V715" s="279"/>
    </row>
    <row r="716" ht="15.75" customHeight="1" spans="22:22">
      <c r="V716" s="279"/>
    </row>
    <row r="717" ht="15.75" customHeight="1" spans="22:22">
      <c r="V717" s="279"/>
    </row>
    <row r="718" ht="15.75" customHeight="1" spans="22:22">
      <c r="V718" s="279"/>
    </row>
    <row r="719" ht="15.75" customHeight="1" spans="22:22">
      <c r="V719" s="279"/>
    </row>
    <row r="720" ht="15.75" customHeight="1" spans="22:22">
      <c r="V720" s="279"/>
    </row>
    <row r="721" ht="15.75" customHeight="1" spans="22:22">
      <c r="V721" s="279"/>
    </row>
    <row r="722" ht="15.75" customHeight="1" spans="22:22">
      <c r="V722" s="279"/>
    </row>
    <row r="723" ht="15.75" customHeight="1" spans="22:22">
      <c r="V723" s="279"/>
    </row>
    <row r="724" ht="15.75" customHeight="1" spans="22:22">
      <c r="V724" s="279"/>
    </row>
    <row r="725" ht="15.75" customHeight="1" spans="22:22">
      <c r="V725" s="279"/>
    </row>
    <row r="726" ht="15.75" customHeight="1" spans="22:22">
      <c r="V726" s="279"/>
    </row>
    <row r="727" ht="15.75" customHeight="1" spans="22:22">
      <c r="V727" s="279"/>
    </row>
    <row r="728" ht="15.75" customHeight="1" spans="22:22">
      <c r="V728" s="279"/>
    </row>
    <row r="729" ht="15.75" customHeight="1" spans="22:22">
      <c r="V729" s="279"/>
    </row>
    <row r="730" ht="15.75" customHeight="1" spans="22:22">
      <c r="V730" s="279"/>
    </row>
    <row r="731" ht="15.75" customHeight="1" spans="22:22">
      <c r="V731" s="279"/>
    </row>
    <row r="732" ht="15.75" customHeight="1" spans="22:22">
      <c r="V732" s="279"/>
    </row>
    <row r="733" ht="15.75" customHeight="1" spans="22:22">
      <c r="V733" s="279"/>
    </row>
    <row r="734" ht="15.75" customHeight="1" spans="22:22">
      <c r="V734" s="279"/>
    </row>
    <row r="735" ht="15.75" customHeight="1" spans="22:22">
      <c r="V735" s="279"/>
    </row>
    <row r="736" ht="15.75" customHeight="1" spans="22:22">
      <c r="V736" s="279"/>
    </row>
    <row r="737" ht="15.75" customHeight="1" spans="22:22">
      <c r="V737" s="279"/>
    </row>
    <row r="738" ht="15.75" customHeight="1" spans="22:22">
      <c r="V738" s="279"/>
    </row>
    <row r="739" ht="15.75" customHeight="1" spans="22:22">
      <c r="V739" s="279"/>
    </row>
    <row r="740" ht="15.75" customHeight="1" spans="22:22">
      <c r="V740" s="279"/>
    </row>
    <row r="741" ht="15.75" customHeight="1" spans="22:22">
      <c r="V741" s="279"/>
    </row>
    <row r="742" ht="15.75" customHeight="1" spans="22:22">
      <c r="V742" s="279"/>
    </row>
    <row r="743" ht="15.75" customHeight="1" spans="22:22">
      <c r="V743" s="279"/>
    </row>
    <row r="744" ht="15.75" customHeight="1" spans="22:22">
      <c r="V744" s="279"/>
    </row>
    <row r="745" ht="15.75" customHeight="1" spans="22:22">
      <c r="V745" s="279"/>
    </row>
    <row r="746" ht="15.75" customHeight="1" spans="22:22">
      <c r="V746" s="279"/>
    </row>
    <row r="747" ht="15.75" customHeight="1" spans="22:22">
      <c r="V747" s="279"/>
    </row>
    <row r="748" ht="15.75" customHeight="1" spans="22:22">
      <c r="V748" s="279"/>
    </row>
    <row r="749" ht="15.75" customHeight="1" spans="22:22">
      <c r="V749" s="279"/>
    </row>
    <row r="750" ht="15.75" customHeight="1" spans="22:22">
      <c r="V750" s="279"/>
    </row>
    <row r="751" ht="15.75" customHeight="1" spans="22:22">
      <c r="V751" s="279"/>
    </row>
    <row r="752" ht="15.75" customHeight="1" spans="22:22">
      <c r="V752" s="279"/>
    </row>
    <row r="753" ht="15.75" customHeight="1" spans="22:22">
      <c r="V753" s="279"/>
    </row>
    <row r="754" ht="15.75" customHeight="1" spans="22:22">
      <c r="V754" s="279"/>
    </row>
    <row r="755" ht="15.75" customHeight="1" spans="22:22">
      <c r="V755" s="279"/>
    </row>
    <row r="756" ht="15.75" customHeight="1" spans="22:22">
      <c r="V756" s="279"/>
    </row>
    <row r="757" ht="15.75" customHeight="1" spans="22:22">
      <c r="V757" s="279"/>
    </row>
    <row r="758" ht="15.75" customHeight="1" spans="22:22">
      <c r="V758" s="279"/>
    </row>
    <row r="759" ht="15.75" customHeight="1" spans="22:22">
      <c r="V759" s="279"/>
    </row>
    <row r="760" ht="15.75" customHeight="1" spans="22:22">
      <c r="V760" s="279"/>
    </row>
    <row r="761" ht="15.75" customHeight="1" spans="22:22">
      <c r="V761" s="279"/>
    </row>
    <row r="762" ht="15.75" customHeight="1" spans="22:22">
      <c r="V762" s="279"/>
    </row>
    <row r="763" ht="15.75" customHeight="1" spans="22:22">
      <c r="V763" s="279"/>
    </row>
    <row r="764" ht="15.75" customHeight="1" spans="22:22">
      <c r="V764" s="279"/>
    </row>
    <row r="765" ht="15.75" customHeight="1" spans="22:22">
      <c r="V765" s="279"/>
    </row>
    <row r="766" ht="15.75" customHeight="1" spans="22:22">
      <c r="V766" s="279"/>
    </row>
    <row r="767" ht="15.75" customHeight="1" spans="22:22">
      <c r="V767" s="279"/>
    </row>
    <row r="768" ht="15.75" customHeight="1" spans="22:22">
      <c r="V768" s="279"/>
    </row>
    <row r="769" ht="15.75" customHeight="1" spans="22:22">
      <c r="V769" s="279"/>
    </row>
    <row r="770" ht="15.75" customHeight="1" spans="22:22">
      <c r="V770" s="279"/>
    </row>
    <row r="771" ht="15.75" customHeight="1" spans="22:22">
      <c r="V771" s="279"/>
    </row>
    <row r="772" ht="15.75" customHeight="1" spans="22:22">
      <c r="V772" s="279"/>
    </row>
    <row r="773" ht="15.75" customHeight="1" spans="22:22">
      <c r="V773" s="279"/>
    </row>
    <row r="774" ht="15.75" customHeight="1" spans="22:22">
      <c r="V774" s="279"/>
    </row>
    <row r="775" ht="15.75" customHeight="1" spans="22:22">
      <c r="V775" s="279"/>
    </row>
    <row r="776" ht="15.75" customHeight="1" spans="22:22">
      <c r="V776" s="279"/>
    </row>
    <row r="777" ht="15.75" customHeight="1" spans="22:22">
      <c r="V777" s="279"/>
    </row>
    <row r="778" ht="15.75" customHeight="1" spans="22:22">
      <c r="V778" s="279"/>
    </row>
    <row r="779" ht="15.75" customHeight="1" spans="22:22">
      <c r="V779" s="279"/>
    </row>
    <row r="780" ht="15.75" customHeight="1" spans="22:22">
      <c r="V780" s="279"/>
    </row>
    <row r="781" ht="15.75" customHeight="1" spans="22:22">
      <c r="V781" s="279"/>
    </row>
    <row r="782" ht="15.75" customHeight="1" spans="22:22">
      <c r="V782" s="279"/>
    </row>
    <row r="783" ht="15.75" customHeight="1" spans="22:22">
      <c r="V783" s="279"/>
    </row>
    <row r="784" ht="15.75" customHeight="1" spans="22:22">
      <c r="V784" s="279"/>
    </row>
    <row r="785" ht="15.75" customHeight="1" spans="22:22">
      <c r="V785" s="279"/>
    </row>
    <row r="786" ht="15.75" customHeight="1" spans="22:22">
      <c r="V786" s="279"/>
    </row>
    <row r="787" ht="15.75" customHeight="1" spans="22:22">
      <c r="V787" s="279"/>
    </row>
    <row r="788" ht="15.75" customHeight="1" spans="22:22">
      <c r="V788" s="279"/>
    </row>
    <row r="789" ht="15.75" customHeight="1" spans="22:22">
      <c r="V789" s="279"/>
    </row>
    <row r="790" ht="15.75" customHeight="1" spans="22:22">
      <c r="V790" s="279"/>
    </row>
    <row r="791" ht="15.75" customHeight="1" spans="22:22">
      <c r="V791" s="279"/>
    </row>
    <row r="792" ht="15.75" customHeight="1" spans="22:22">
      <c r="V792" s="279"/>
    </row>
    <row r="793" ht="15.75" customHeight="1" spans="22:22">
      <c r="V793" s="279"/>
    </row>
    <row r="794" ht="15.75" customHeight="1" spans="22:22">
      <c r="V794" s="279"/>
    </row>
    <row r="795" ht="15.75" customHeight="1" spans="22:22">
      <c r="V795" s="279"/>
    </row>
    <row r="796" ht="15.75" customHeight="1" spans="22:22">
      <c r="V796" s="279"/>
    </row>
    <row r="797" ht="15.75" customHeight="1" spans="22:22">
      <c r="V797" s="279"/>
    </row>
    <row r="798" ht="15.75" customHeight="1" spans="22:22">
      <c r="V798" s="279"/>
    </row>
    <row r="799" ht="15.75" customHeight="1" spans="22:22">
      <c r="V799" s="279"/>
    </row>
    <row r="800" ht="15.75" customHeight="1" spans="22:22">
      <c r="V800" s="279"/>
    </row>
    <row r="801" ht="15.75" customHeight="1" spans="22:22">
      <c r="V801" s="279"/>
    </row>
    <row r="802" ht="15.75" customHeight="1" spans="22:22">
      <c r="V802" s="279"/>
    </row>
    <row r="803" ht="15.75" customHeight="1" spans="22:22">
      <c r="V803" s="279"/>
    </row>
    <row r="804" ht="15.75" customHeight="1" spans="22:22">
      <c r="V804" s="279"/>
    </row>
    <row r="805" ht="15.75" customHeight="1" spans="22:22">
      <c r="V805" s="279"/>
    </row>
    <row r="806" ht="15.75" customHeight="1" spans="22:22">
      <c r="V806" s="279"/>
    </row>
    <row r="807" ht="15.75" customHeight="1" spans="22:22">
      <c r="V807" s="279"/>
    </row>
    <row r="808" ht="15.75" customHeight="1" spans="22:22">
      <c r="V808" s="279"/>
    </row>
    <row r="809" ht="15.75" customHeight="1" spans="22:22">
      <c r="V809" s="279"/>
    </row>
    <row r="810" ht="15.75" customHeight="1" spans="22:22">
      <c r="V810" s="279"/>
    </row>
    <row r="811" ht="15.75" customHeight="1" spans="22:22">
      <c r="V811" s="279"/>
    </row>
    <row r="812" ht="15.75" customHeight="1" spans="22:22">
      <c r="V812" s="279"/>
    </row>
    <row r="813" ht="15.75" customHeight="1" spans="22:22">
      <c r="V813" s="279"/>
    </row>
    <row r="814" ht="15.75" customHeight="1" spans="22:22">
      <c r="V814" s="279"/>
    </row>
    <row r="815" ht="15.75" customHeight="1" spans="22:22">
      <c r="V815" s="279"/>
    </row>
    <row r="816" ht="15.75" customHeight="1" spans="22:22">
      <c r="V816" s="279"/>
    </row>
    <row r="817" ht="15.75" customHeight="1" spans="22:22">
      <c r="V817" s="279"/>
    </row>
    <row r="818" ht="15.75" customHeight="1" spans="22:22">
      <c r="V818" s="279"/>
    </row>
    <row r="819" ht="15.75" customHeight="1" spans="22:22">
      <c r="V819" s="279"/>
    </row>
    <row r="820" ht="15.75" customHeight="1" spans="22:22">
      <c r="V820" s="279"/>
    </row>
    <row r="821" ht="15.75" customHeight="1" spans="22:22">
      <c r="V821" s="279"/>
    </row>
    <row r="822" ht="15.75" customHeight="1" spans="22:22">
      <c r="V822" s="279"/>
    </row>
    <row r="823" ht="15.75" customHeight="1" spans="22:22">
      <c r="V823" s="279"/>
    </row>
    <row r="824" ht="15.75" customHeight="1" spans="22:22">
      <c r="V824" s="279"/>
    </row>
    <row r="825" ht="15.75" customHeight="1" spans="22:22">
      <c r="V825" s="279"/>
    </row>
    <row r="826" ht="15.75" customHeight="1" spans="22:22">
      <c r="V826" s="279"/>
    </row>
    <row r="827" ht="15.75" customHeight="1" spans="22:22">
      <c r="V827" s="279"/>
    </row>
    <row r="828" ht="15.75" customHeight="1" spans="22:22">
      <c r="V828" s="279"/>
    </row>
    <row r="829" ht="15.75" customHeight="1" spans="22:22">
      <c r="V829" s="279"/>
    </row>
    <row r="830" ht="15.75" customHeight="1" spans="22:22">
      <c r="V830" s="279"/>
    </row>
    <row r="831" ht="15.75" customHeight="1" spans="22:22">
      <c r="V831" s="279"/>
    </row>
    <row r="832" ht="15.75" customHeight="1" spans="22:22">
      <c r="V832" s="279"/>
    </row>
    <row r="833" ht="15.75" customHeight="1" spans="22:22">
      <c r="V833" s="279"/>
    </row>
    <row r="834" ht="15.75" customHeight="1" spans="22:22">
      <c r="V834" s="279"/>
    </row>
    <row r="835" ht="15.75" customHeight="1" spans="22:22">
      <c r="V835" s="279"/>
    </row>
    <row r="836" ht="15.75" customHeight="1" spans="22:22">
      <c r="V836" s="279"/>
    </row>
    <row r="837" ht="15.75" customHeight="1" spans="22:22">
      <c r="V837" s="279"/>
    </row>
    <row r="838" ht="15.75" customHeight="1" spans="22:22">
      <c r="V838" s="279"/>
    </row>
    <row r="839" ht="15.75" customHeight="1" spans="22:22">
      <c r="V839" s="279"/>
    </row>
    <row r="840" ht="15.75" customHeight="1" spans="22:22">
      <c r="V840" s="279"/>
    </row>
    <row r="841" ht="15.75" customHeight="1" spans="22:22">
      <c r="V841" s="279"/>
    </row>
    <row r="842" ht="15.75" customHeight="1" spans="22:22">
      <c r="V842" s="279"/>
    </row>
    <row r="843" ht="15.75" customHeight="1" spans="22:22">
      <c r="V843" s="279"/>
    </row>
    <row r="844" ht="15.75" customHeight="1" spans="22:22">
      <c r="V844" s="279"/>
    </row>
    <row r="845" ht="15.75" customHeight="1" spans="22:22">
      <c r="V845" s="279"/>
    </row>
    <row r="846" ht="15.75" customHeight="1" spans="22:22">
      <c r="V846" s="279"/>
    </row>
    <row r="847" ht="15.75" customHeight="1" spans="22:22">
      <c r="V847" s="279"/>
    </row>
    <row r="848" ht="15.75" customHeight="1" spans="22:22">
      <c r="V848" s="279"/>
    </row>
    <row r="849" ht="15.75" customHeight="1" spans="22:22">
      <c r="V849" s="279"/>
    </row>
    <row r="850" ht="15.75" customHeight="1" spans="22:22">
      <c r="V850" s="279"/>
    </row>
    <row r="851" ht="15.75" customHeight="1" spans="22:22">
      <c r="V851" s="279"/>
    </row>
    <row r="852" ht="15.75" customHeight="1" spans="22:22">
      <c r="V852" s="279"/>
    </row>
    <row r="853" ht="15.75" customHeight="1" spans="22:22">
      <c r="V853" s="279"/>
    </row>
    <row r="854" ht="15.75" customHeight="1" spans="22:22">
      <c r="V854" s="279"/>
    </row>
    <row r="855" ht="15.75" customHeight="1" spans="22:22">
      <c r="V855" s="279"/>
    </row>
    <row r="856" ht="15.75" customHeight="1" spans="22:22">
      <c r="V856" s="279"/>
    </row>
    <row r="857" ht="15.75" customHeight="1" spans="22:22">
      <c r="V857" s="279"/>
    </row>
    <row r="858" ht="15.75" customHeight="1" spans="22:22">
      <c r="V858" s="279"/>
    </row>
    <row r="859" ht="15.75" customHeight="1" spans="22:22">
      <c r="V859" s="279"/>
    </row>
    <row r="860" ht="15.75" customHeight="1" spans="22:22">
      <c r="V860" s="279"/>
    </row>
    <row r="861" ht="15.75" customHeight="1" spans="22:22">
      <c r="V861" s="279"/>
    </row>
    <row r="862" ht="15.75" customHeight="1" spans="22:22">
      <c r="V862" s="279"/>
    </row>
    <row r="863" ht="15.75" customHeight="1" spans="22:22">
      <c r="V863" s="279"/>
    </row>
    <row r="864" ht="15.75" customHeight="1" spans="22:22">
      <c r="V864" s="279"/>
    </row>
    <row r="865" ht="15.75" customHeight="1" spans="22:22">
      <c r="V865" s="279"/>
    </row>
    <row r="866" ht="15.75" customHeight="1" spans="22:22">
      <c r="V866" s="279"/>
    </row>
    <row r="867" ht="15.75" customHeight="1" spans="22:22">
      <c r="V867" s="279"/>
    </row>
    <row r="868" ht="15.75" customHeight="1" spans="22:22">
      <c r="V868" s="279"/>
    </row>
    <row r="869" ht="15.75" customHeight="1" spans="22:22">
      <c r="V869" s="279"/>
    </row>
    <row r="870" ht="15.75" customHeight="1" spans="22:22">
      <c r="V870" s="279"/>
    </row>
    <row r="871" ht="15.75" customHeight="1" spans="22:22">
      <c r="V871" s="279"/>
    </row>
    <row r="872" ht="15.75" customHeight="1" spans="22:22">
      <c r="V872" s="279"/>
    </row>
    <row r="873" ht="15.75" customHeight="1" spans="22:22">
      <c r="V873" s="279"/>
    </row>
    <row r="874" ht="15.75" customHeight="1" spans="22:22">
      <c r="V874" s="279"/>
    </row>
    <row r="875" ht="15.75" customHeight="1" spans="22:22">
      <c r="V875" s="279"/>
    </row>
    <row r="876" ht="15.75" customHeight="1" spans="22:22">
      <c r="V876" s="279"/>
    </row>
    <row r="877" ht="15.75" customHeight="1" spans="22:22">
      <c r="V877" s="279"/>
    </row>
    <row r="878" ht="15.75" customHeight="1" spans="22:22">
      <c r="V878" s="279"/>
    </row>
    <row r="879" ht="15.75" customHeight="1" spans="22:22">
      <c r="V879" s="279"/>
    </row>
    <row r="880" ht="15.75" customHeight="1" spans="22:22">
      <c r="V880" s="279"/>
    </row>
    <row r="881" ht="15.75" customHeight="1" spans="22:22">
      <c r="V881" s="279"/>
    </row>
    <row r="882" ht="15.75" customHeight="1" spans="22:22">
      <c r="V882" s="279"/>
    </row>
    <row r="883" ht="15.75" customHeight="1" spans="22:22">
      <c r="V883" s="279"/>
    </row>
    <row r="884" ht="15.75" customHeight="1" spans="22:22">
      <c r="V884" s="279"/>
    </row>
    <row r="885" ht="15.75" customHeight="1" spans="22:22">
      <c r="V885" s="279"/>
    </row>
    <row r="886" ht="15.75" customHeight="1" spans="22:22">
      <c r="V886" s="279"/>
    </row>
    <row r="887" ht="15.75" customHeight="1" spans="22:22">
      <c r="V887" s="279"/>
    </row>
    <row r="888" ht="15.75" customHeight="1" spans="22:22">
      <c r="V888" s="279"/>
    </row>
    <row r="889" ht="15.75" customHeight="1" spans="22:22">
      <c r="V889" s="279"/>
    </row>
    <row r="890" ht="15.75" customHeight="1" spans="22:22">
      <c r="V890" s="279"/>
    </row>
    <row r="891" ht="15.75" customHeight="1" spans="22:22">
      <c r="V891" s="279"/>
    </row>
    <row r="892" ht="15.75" customHeight="1" spans="22:22">
      <c r="V892" s="279"/>
    </row>
    <row r="893" ht="15.75" customHeight="1" spans="22:22">
      <c r="V893" s="279"/>
    </row>
    <row r="894" ht="15.75" customHeight="1" spans="22:22">
      <c r="V894" s="279"/>
    </row>
    <row r="895" ht="15.75" customHeight="1" spans="22:22">
      <c r="V895" s="279"/>
    </row>
    <row r="896" ht="15.75" customHeight="1" spans="22:22">
      <c r="V896" s="279"/>
    </row>
    <row r="897" ht="15.75" customHeight="1" spans="22:22">
      <c r="V897" s="279"/>
    </row>
    <row r="898" ht="15.75" customHeight="1" spans="22:22">
      <c r="V898" s="279"/>
    </row>
    <row r="899" ht="15.75" customHeight="1" spans="22:22">
      <c r="V899" s="279"/>
    </row>
    <row r="900" ht="15.75" customHeight="1" spans="22:22">
      <c r="V900" s="279"/>
    </row>
    <row r="901" ht="15.75" customHeight="1" spans="22:22">
      <c r="V901" s="279"/>
    </row>
    <row r="902" ht="15.75" customHeight="1" spans="22:22">
      <c r="V902" s="279"/>
    </row>
    <row r="903" ht="15.75" customHeight="1" spans="22:22">
      <c r="V903" s="279"/>
    </row>
    <row r="904" ht="15.75" customHeight="1" spans="22:22">
      <c r="V904" s="279"/>
    </row>
    <row r="905" ht="15.75" customHeight="1" spans="22:22">
      <c r="V905" s="279"/>
    </row>
    <row r="906" ht="15.75" customHeight="1" spans="22:22">
      <c r="V906" s="279"/>
    </row>
    <row r="907" ht="15.75" customHeight="1" spans="22:22">
      <c r="V907" s="279"/>
    </row>
    <row r="908" ht="15.75" customHeight="1" spans="22:22">
      <c r="V908" s="279"/>
    </row>
    <row r="909" ht="15.75" customHeight="1" spans="22:22">
      <c r="V909" s="279"/>
    </row>
    <row r="910" ht="15.75" customHeight="1" spans="22:22">
      <c r="V910" s="279"/>
    </row>
    <row r="911" ht="15.75" customHeight="1" spans="22:22">
      <c r="V911" s="279"/>
    </row>
    <row r="912" ht="15.75" customHeight="1" spans="22:22">
      <c r="V912" s="279"/>
    </row>
    <row r="913" ht="15.75" customHeight="1" spans="22:22">
      <c r="V913" s="279"/>
    </row>
    <row r="914" ht="15.75" customHeight="1" spans="22:22">
      <c r="V914" s="279"/>
    </row>
    <row r="915" ht="15.75" customHeight="1" spans="22:22">
      <c r="V915" s="279"/>
    </row>
    <row r="916" ht="15.75" customHeight="1" spans="22:22">
      <c r="V916" s="279"/>
    </row>
    <row r="917" ht="15.75" customHeight="1" spans="22:22">
      <c r="V917" s="279"/>
    </row>
    <row r="918" ht="15.75" customHeight="1" spans="22:22">
      <c r="V918" s="279"/>
    </row>
    <row r="919" ht="15.75" customHeight="1" spans="22:22">
      <c r="V919" s="279"/>
    </row>
    <row r="920" ht="15.75" customHeight="1" spans="22:22">
      <c r="V920" s="279"/>
    </row>
    <row r="921" ht="15.75" customHeight="1" spans="22:22">
      <c r="V921" s="279"/>
    </row>
    <row r="922" ht="15.75" customHeight="1" spans="22:22">
      <c r="V922" s="279"/>
    </row>
    <row r="923" ht="15.75" customHeight="1" spans="22:22">
      <c r="V923" s="279"/>
    </row>
    <row r="924" ht="15.75" customHeight="1" spans="22:22">
      <c r="V924" s="279"/>
    </row>
    <row r="925" ht="15.75" customHeight="1" spans="22:22">
      <c r="V925" s="279"/>
    </row>
    <row r="926" ht="15.75" customHeight="1" spans="22:22">
      <c r="V926" s="279"/>
    </row>
    <row r="927" ht="15.75" customHeight="1" spans="22:22">
      <c r="V927" s="279"/>
    </row>
    <row r="928" ht="15.75" customHeight="1" spans="22:22">
      <c r="V928" s="279"/>
    </row>
    <row r="929" ht="15.75" customHeight="1" spans="22:22">
      <c r="V929" s="279"/>
    </row>
    <row r="930" ht="15.75" customHeight="1" spans="22:22">
      <c r="V930" s="279"/>
    </row>
    <row r="931" ht="15.75" customHeight="1" spans="22:22">
      <c r="V931" s="279"/>
    </row>
    <row r="932" ht="15.75" customHeight="1" spans="22:22">
      <c r="V932" s="279"/>
    </row>
    <row r="933" ht="15.75" customHeight="1" spans="22:22">
      <c r="V933" s="279"/>
    </row>
    <row r="934" ht="15.75" customHeight="1" spans="22:22">
      <c r="V934" s="279"/>
    </row>
    <row r="935" ht="15.75" customHeight="1" spans="22:22">
      <c r="V935" s="279"/>
    </row>
    <row r="936" ht="15.75" customHeight="1" spans="22:22">
      <c r="V936" s="279"/>
    </row>
    <row r="937" ht="15.75" customHeight="1" spans="22:22">
      <c r="V937" s="279"/>
    </row>
    <row r="938" ht="15.75" customHeight="1" spans="22:22">
      <c r="V938" s="279"/>
    </row>
    <row r="939" ht="15.75" customHeight="1" spans="22:22">
      <c r="V939" s="279"/>
    </row>
    <row r="940" ht="15.75" customHeight="1" spans="22:22">
      <c r="V940" s="279"/>
    </row>
    <row r="941" ht="15.75" customHeight="1" spans="22:22">
      <c r="V941" s="279"/>
    </row>
    <row r="942" ht="15.75" customHeight="1" spans="22:22">
      <c r="V942" s="279"/>
    </row>
    <row r="943" ht="15.75" customHeight="1" spans="22:22">
      <c r="V943" s="279"/>
    </row>
    <row r="944" ht="15.75" customHeight="1" spans="22:22">
      <c r="V944" s="279"/>
    </row>
    <row r="945" ht="15.75" customHeight="1" spans="22:22">
      <c r="V945" s="279"/>
    </row>
    <row r="946" ht="15.75" customHeight="1" spans="22:22">
      <c r="V946" s="279"/>
    </row>
    <row r="947" ht="15.75" customHeight="1" spans="22:22">
      <c r="V947" s="279"/>
    </row>
    <row r="948" ht="15.75" customHeight="1" spans="22:22">
      <c r="V948" s="279"/>
    </row>
    <row r="949" ht="15.75" customHeight="1" spans="22:22">
      <c r="V949" s="279"/>
    </row>
    <row r="950" ht="15.75" customHeight="1" spans="22:22">
      <c r="V950" s="279"/>
    </row>
    <row r="951" ht="15.75" customHeight="1" spans="22:22">
      <c r="V951" s="279"/>
    </row>
    <row r="952" ht="15.75" customHeight="1" spans="22:22">
      <c r="V952" s="279"/>
    </row>
    <row r="953" ht="15.75" customHeight="1" spans="22:22">
      <c r="V953" s="279"/>
    </row>
    <row r="954" ht="15.75" customHeight="1" spans="22:22">
      <c r="V954" s="279"/>
    </row>
    <row r="955" ht="15.75" customHeight="1" spans="22:22">
      <c r="V955" s="279"/>
    </row>
    <row r="956" ht="15.75" customHeight="1" spans="22:22">
      <c r="V956" s="279"/>
    </row>
    <row r="957" ht="15.75" customHeight="1" spans="22:22">
      <c r="V957" s="279"/>
    </row>
    <row r="958" ht="15.75" customHeight="1" spans="22:22">
      <c r="V958" s="279"/>
    </row>
    <row r="959" ht="15.75" customHeight="1" spans="22:22">
      <c r="V959" s="279"/>
    </row>
    <row r="960" ht="15.75" customHeight="1" spans="22:22">
      <c r="V960" s="279"/>
    </row>
    <row r="961" ht="15.75" customHeight="1" spans="22:22">
      <c r="V961" s="279"/>
    </row>
    <row r="962" ht="15.75" customHeight="1" spans="22:22">
      <c r="V962" s="279"/>
    </row>
    <row r="963" ht="15.75" customHeight="1" spans="22:22">
      <c r="V963" s="279"/>
    </row>
    <row r="964" ht="15.75" customHeight="1" spans="22:22">
      <c r="V964" s="279"/>
    </row>
    <row r="965" ht="15.75" customHeight="1" spans="22:22">
      <c r="V965" s="279"/>
    </row>
    <row r="966" ht="15.75" customHeight="1" spans="22:22">
      <c r="V966" s="279"/>
    </row>
    <row r="967" ht="15.75" customHeight="1" spans="22:22">
      <c r="V967" s="279"/>
    </row>
    <row r="968" ht="15.75" customHeight="1" spans="22:22">
      <c r="V968" s="279"/>
    </row>
    <row r="969" ht="15.75" customHeight="1" spans="22:22">
      <c r="V969" s="279"/>
    </row>
    <row r="970" ht="15.75" customHeight="1" spans="22:22">
      <c r="V970" s="279"/>
    </row>
    <row r="971" ht="15.75" customHeight="1" spans="22:22">
      <c r="V971" s="279"/>
    </row>
    <row r="972" ht="15.75" customHeight="1" spans="22:22">
      <c r="V972" s="279"/>
    </row>
    <row r="973" ht="15.75" customHeight="1" spans="22:22">
      <c r="V973" s="279"/>
    </row>
    <row r="974" ht="15.75" customHeight="1" spans="22:22">
      <c r="V974" s="279"/>
    </row>
    <row r="975" ht="15.75" customHeight="1" spans="22:22">
      <c r="V975" s="279"/>
    </row>
    <row r="976" ht="15.75" customHeight="1" spans="22:22">
      <c r="V976" s="279"/>
    </row>
    <row r="977" ht="15.75" customHeight="1" spans="22:22">
      <c r="V977" s="279"/>
    </row>
    <row r="978" ht="15.75" customHeight="1" spans="22:22">
      <c r="V978" s="279"/>
    </row>
    <row r="979" ht="15.75" customHeight="1" spans="22:22">
      <c r="V979" s="279"/>
    </row>
    <row r="980" ht="15.75" customHeight="1" spans="22:22">
      <c r="V980" s="279"/>
    </row>
    <row r="981" ht="15.75" customHeight="1" spans="22:22">
      <c r="V981" s="279"/>
    </row>
    <row r="982" ht="15.75" customHeight="1" spans="22:22">
      <c r="V982" s="279"/>
    </row>
    <row r="983" ht="15.75" customHeight="1" spans="22:22">
      <c r="V983" s="279"/>
    </row>
    <row r="984" ht="15.75" customHeight="1" spans="22:22">
      <c r="V984" s="279"/>
    </row>
    <row r="985" ht="15.75" customHeight="1" spans="22:22">
      <c r="V985" s="279"/>
    </row>
    <row r="986" ht="15.75" customHeight="1" spans="22:22">
      <c r="V986" s="279"/>
    </row>
    <row r="987" ht="15.75" customHeight="1" spans="22:22">
      <c r="V987" s="279"/>
    </row>
    <row r="988" ht="15.75" customHeight="1" spans="22:22">
      <c r="V988" s="279"/>
    </row>
    <row r="989" ht="15.75" customHeight="1" spans="22:22">
      <c r="V989" s="279"/>
    </row>
    <row r="990" ht="15.75" customHeight="1" spans="22:22">
      <c r="V990" s="279"/>
    </row>
    <row r="991" ht="15.75" customHeight="1" spans="22:22">
      <c r="V991" s="279"/>
    </row>
    <row r="992" ht="15.75" customHeight="1" spans="22:22">
      <c r="V992" s="279"/>
    </row>
    <row r="993" ht="15.75" customHeight="1" spans="22:22">
      <c r="V993" s="279"/>
    </row>
    <row r="994" ht="15.75" customHeight="1" spans="22:22">
      <c r="V994" s="279"/>
    </row>
    <row r="995" ht="15.75" customHeight="1" spans="22:22">
      <c r="V995" s="279"/>
    </row>
    <row r="996" ht="15.75" customHeight="1" spans="22:22">
      <c r="V996" s="279"/>
    </row>
    <row r="997" ht="15.75" customHeight="1" spans="22:22">
      <c r="V997" s="279"/>
    </row>
    <row r="998" ht="15.75" customHeight="1" spans="22:22">
      <c r="V998" s="279"/>
    </row>
    <row r="999" ht="15.75" customHeight="1" spans="22:22">
      <c r="V999" s="279"/>
    </row>
    <row r="1000" ht="15.75" customHeight="1" spans="22:22">
      <c r="V1000" s="279"/>
    </row>
    <row r="1001" ht="15.75" customHeight="1" spans="22:22">
      <c r="V1001" s="279"/>
    </row>
    <row r="1002" ht="15.75" customHeight="1" spans="22:22">
      <c r="V1002" s="279"/>
    </row>
    <row r="1003" ht="15.75" customHeight="1" spans="22:22">
      <c r="V1003" s="279"/>
    </row>
    <row r="1004" ht="15.75" customHeight="1" spans="22:22">
      <c r="V1004" s="279"/>
    </row>
    <row r="1005" ht="15.75" customHeight="1" spans="22:22">
      <c r="V1005" s="279"/>
    </row>
    <row r="1006" ht="15.75" customHeight="1" spans="22:22">
      <c r="V1006" s="279"/>
    </row>
    <row r="1007" ht="15.75" customHeight="1" spans="22:22">
      <c r="V1007" s="279"/>
    </row>
    <row r="1008" ht="15.75" customHeight="1" spans="22:22">
      <c r="V1008" s="279"/>
    </row>
    <row r="1009" ht="15.75" customHeight="1" spans="22:22">
      <c r="V1009" s="279"/>
    </row>
    <row r="1010" ht="15.75" customHeight="1" spans="22:22">
      <c r="V1010" s="279"/>
    </row>
    <row r="1011" ht="15.75" customHeight="1" spans="22:22">
      <c r="V1011" s="279"/>
    </row>
    <row r="1012" ht="15.75" customHeight="1" spans="22:22">
      <c r="V1012" s="279"/>
    </row>
    <row r="1013" ht="15.75" customHeight="1" spans="22:22">
      <c r="V1013" s="279"/>
    </row>
    <row r="1014" ht="15.75" customHeight="1" spans="22:22">
      <c r="V1014" s="279"/>
    </row>
    <row r="1015" ht="15.75" customHeight="1" spans="22:22">
      <c r="V1015" s="279"/>
    </row>
    <row r="1016" ht="15.75" customHeight="1" spans="22:22">
      <c r="V1016" s="279"/>
    </row>
    <row r="1017" ht="15.75" customHeight="1" spans="22:22">
      <c r="V1017" s="279"/>
    </row>
    <row r="1018" ht="15.75" customHeight="1" spans="22:22">
      <c r="V1018" s="279"/>
    </row>
    <row r="1019" ht="15.75" customHeight="1" spans="22:22">
      <c r="V1019" s="279"/>
    </row>
    <row r="1020" ht="15.75" customHeight="1" spans="22:22">
      <c r="V1020" s="279"/>
    </row>
    <row r="1021" ht="15.75" customHeight="1" spans="22:22">
      <c r="V1021" s="279"/>
    </row>
    <row r="1022" ht="15.75" customHeight="1" spans="22:22">
      <c r="V1022" s="279"/>
    </row>
    <row r="1023" ht="15.75" customHeight="1" spans="22:22">
      <c r="V1023" s="279"/>
    </row>
    <row r="1024" ht="15.75" customHeight="1" spans="22:22">
      <c r="V1024" s="279"/>
    </row>
    <row r="1025" ht="15.75" customHeight="1" spans="22:22">
      <c r="V1025" s="279"/>
    </row>
    <row r="1026" ht="15.75" customHeight="1" spans="22:22">
      <c r="V1026" s="279"/>
    </row>
    <row r="1027" ht="15.75" customHeight="1" spans="22:22">
      <c r="V1027" s="279"/>
    </row>
    <row r="1028" ht="15.75" customHeight="1" spans="22:22">
      <c r="V1028" s="279"/>
    </row>
    <row r="1029" ht="15.75" customHeight="1" spans="22:22">
      <c r="V1029" s="279"/>
    </row>
    <row r="1030" ht="15.75" customHeight="1" spans="22:22">
      <c r="V1030" s="279"/>
    </row>
    <row r="1031" ht="15.75" customHeight="1" spans="22:22">
      <c r="V1031" s="279"/>
    </row>
    <row r="1032" ht="15.75" customHeight="1" spans="22:22">
      <c r="V1032" s="279"/>
    </row>
    <row r="1033" ht="15.75" customHeight="1" spans="22:22">
      <c r="V1033" s="279"/>
    </row>
    <row r="1034" ht="15.75" customHeight="1" spans="22:22">
      <c r="V1034" s="279"/>
    </row>
    <row r="1035" ht="15.75" customHeight="1" spans="22:22">
      <c r="V1035" s="279"/>
    </row>
    <row r="1036" ht="15.75" customHeight="1" spans="22:22">
      <c r="V1036" s="279"/>
    </row>
    <row r="1037" ht="15.75" customHeight="1" spans="22:22">
      <c r="V1037" s="279"/>
    </row>
    <row r="1038" ht="15.75" customHeight="1" spans="22:22">
      <c r="V1038" s="279"/>
    </row>
    <row r="1039" ht="15.75" customHeight="1" spans="22:22">
      <c r="V1039" s="279"/>
    </row>
    <row r="1040" ht="15.75" customHeight="1" spans="22:22">
      <c r="V1040" s="279"/>
    </row>
    <row r="1041" ht="15.75" customHeight="1" spans="22:22">
      <c r="V1041" s="279"/>
    </row>
    <row r="1042" ht="15.75" customHeight="1" spans="22:22">
      <c r="V1042" s="279"/>
    </row>
    <row r="1043" ht="15.75" customHeight="1" spans="22:22">
      <c r="V1043" s="279"/>
    </row>
    <row r="1044" ht="15.75" customHeight="1" spans="22:22">
      <c r="V1044" s="279"/>
    </row>
    <row r="1045" ht="15.75" customHeight="1" spans="22:22">
      <c r="V1045" s="279"/>
    </row>
    <row r="1046" ht="15.75" customHeight="1" spans="22:22">
      <c r="V1046" s="279"/>
    </row>
    <row r="1047" ht="15.75" customHeight="1" spans="22:22">
      <c r="V1047" s="279"/>
    </row>
    <row r="1048" ht="15.75" customHeight="1" spans="22:22">
      <c r="V1048" s="279"/>
    </row>
    <row r="1049" ht="15.75" customHeight="1" spans="22:22">
      <c r="V1049" s="279"/>
    </row>
    <row r="1050" ht="15.75" customHeight="1" spans="22:22">
      <c r="V1050" s="279"/>
    </row>
    <row r="1051" ht="15.75" customHeight="1" spans="22:22">
      <c r="V1051" s="279"/>
    </row>
    <row r="1052" ht="15.75" customHeight="1" spans="22:22">
      <c r="V1052" s="279"/>
    </row>
    <row r="1053" ht="15.75" customHeight="1" spans="22:22">
      <c r="V1053" s="279"/>
    </row>
    <row r="1054" ht="15.75" customHeight="1" spans="22:22">
      <c r="V1054" s="279"/>
    </row>
    <row r="1055" ht="15.75" customHeight="1" spans="22:22">
      <c r="V1055" s="279"/>
    </row>
    <row r="1056" ht="15.75" customHeight="1" spans="22:22">
      <c r="V1056" s="279"/>
    </row>
    <row r="1057" ht="15.75" customHeight="1" spans="22:22">
      <c r="V1057" s="279"/>
    </row>
    <row r="1058" ht="15.75" customHeight="1" spans="22:22">
      <c r="V1058" s="279"/>
    </row>
    <row r="1059" ht="15.75" customHeight="1" spans="22:22">
      <c r="V1059" s="279"/>
    </row>
    <row r="1060" ht="15.75" customHeight="1" spans="22:22">
      <c r="V1060" s="279"/>
    </row>
    <row r="1061" ht="15.75" customHeight="1" spans="22:22">
      <c r="V1061" s="279"/>
    </row>
    <row r="1062" ht="15.75" customHeight="1" spans="22:22">
      <c r="V1062" s="279"/>
    </row>
    <row r="1063" ht="15.75" customHeight="1" spans="22:22">
      <c r="V1063" s="279"/>
    </row>
    <row r="1064" ht="15.75" customHeight="1" spans="22:22">
      <c r="V1064" s="279"/>
    </row>
    <row r="1065" ht="15.75" customHeight="1" spans="22:22">
      <c r="V1065" s="279"/>
    </row>
    <row r="1066" ht="15.75" customHeight="1" spans="22:22">
      <c r="V1066" s="279"/>
    </row>
    <row r="1067" ht="15.75" customHeight="1" spans="22:22">
      <c r="V1067" s="279"/>
    </row>
    <row r="1068" ht="15.75" customHeight="1" spans="22:22">
      <c r="V1068" s="279"/>
    </row>
    <row r="1069" ht="15.75" customHeight="1" spans="22:22">
      <c r="V1069" s="279"/>
    </row>
    <row r="1070" ht="15.75" customHeight="1" spans="22:22">
      <c r="V1070" s="279"/>
    </row>
    <row r="1071" ht="15.75" customHeight="1" spans="22:22">
      <c r="V1071" s="279"/>
    </row>
    <row r="1072" ht="15.75" customHeight="1" spans="22:22">
      <c r="V1072" s="279"/>
    </row>
    <row r="1073" ht="15.75" customHeight="1" spans="22:22">
      <c r="V1073" s="279"/>
    </row>
    <row r="1074" ht="15.75" customHeight="1" spans="22:22">
      <c r="V1074" s="279"/>
    </row>
    <row r="1075" ht="15.75" customHeight="1" spans="22:22">
      <c r="V1075" s="279"/>
    </row>
    <row r="1076" ht="15.75" customHeight="1" spans="22:22">
      <c r="V1076" s="279"/>
    </row>
    <row r="1077" ht="15.75" customHeight="1" spans="22:22">
      <c r="V1077" s="279"/>
    </row>
    <row r="1078" ht="15.75" customHeight="1" spans="22:22">
      <c r="V1078" s="279"/>
    </row>
    <row r="1079" ht="15.75" customHeight="1" spans="22:22">
      <c r="V1079" s="279"/>
    </row>
    <row r="1080" ht="15.75" customHeight="1" spans="22:22">
      <c r="V1080" s="279"/>
    </row>
    <row r="1081" ht="15.75" customHeight="1" spans="22:22">
      <c r="V1081" s="279"/>
    </row>
    <row r="1082" ht="15.75" customHeight="1" spans="22:22">
      <c r="V1082" s="279"/>
    </row>
    <row r="1083" ht="15.75" customHeight="1" spans="22:22">
      <c r="V1083" s="279"/>
    </row>
    <row r="1084" ht="15.75" customHeight="1" spans="22:22">
      <c r="V1084" s="279"/>
    </row>
    <row r="1085" ht="15.75" customHeight="1" spans="22:22">
      <c r="V1085" s="279"/>
    </row>
    <row r="1086" ht="15.75" customHeight="1" spans="22:22">
      <c r="V1086" s="279"/>
    </row>
    <row r="1087" ht="15.75" customHeight="1" spans="22:22">
      <c r="V1087" s="279"/>
    </row>
    <row r="1088" ht="15.75" customHeight="1" spans="22:22">
      <c r="V1088" s="279"/>
    </row>
    <row r="1089" ht="15.75" customHeight="1" spans="22:22">
      <c r="V1089" s="279"/>
    </row>
    <row r="1090" ht="15.75" customHeight="1" spans="22:22">
      <c r="V1090" s="279"/>
    </row>
    <row r="1091" ht="15.75" customHeight="1" spans="22:22">
      <c r="V1091" s="279"/>
    </row>
    <row r="1092" ht="15.75" customHeight="1" spans="22:22">
      <c r="V1092" s="279"/>
    </row>
    <row r="1093" ht="15.75" customHeight="1" spans="22:22">
      <c r="V1093" s="279"/>
    </row>
    <row r="1094" ht="15.75" customHeight="1" spans="22:22">
      <c r="V1094" s="279"/>
    </row>
    <row r="1095" ht="15.75" customHeight="1" spans="22:22">
      <c r="V1095" s="279"/>
    </row>
    <row r="1096" ht="15.75" customHeight="1" spans="22:22">
      <c r="V1096" s="279"/>
    </row>
  </sheetData>
  <autoFilter xmlns:etc="http://www.wps.cn/officeDocument/2017/etCustomData" ref="A3:AT1096" etc:filterBottomFollowUsedRange="0">
    <extLst/>
  </autoFilter>
  <mergeCells count="9">
    <mergeCell ref="AP101:AP103"/>
    <mergeCell ref="AP115:AP116"/>
    <mergeCell ref="AQ101:AQ103"/>
    <mergeCell ref="AQ115:AQ116"/>
    <mergeCell ref="AR101:AR103"/>
    <mergeCell ref="AS101:AS103"/>
    <mergeCell ref="AT101:AT103"/>
    <mergeCell ref="A1:B2"/>
    <mergeCell ref="C1:AT2"/>
  </mergeCells>
  <conditionalFormatting sqref="C32">
    <cfRule type="containsText" dxfId="3" priority="4" operator="between" text="completed">
      <formula>NOT(ISERROR(SEARCH("completed",C32)))</formula>
    </cfRule>
    <cfRule type="containsText" dxfId="2" priority="3" operator="between" text="postponed">
      <formula>NOT(ISERROR(SEARCH("postponed",C32)))</formula>
    </cfRule>
    <cfRule type="containsText" dxfId="1" priority="2" operator="between" text="confirmed">
      <formula>NOT(ISERROR(SEARCH("confirmed",C32)))</formula>
    </cfRule>
    <cfRule type="containsText" dxfId="0" priority="1" operator="between" text="canceled">
      <formula>NOT(ISERROR(SEARCH("canceled",C32)))</formula>
    </cfRule>
  </conditionalFormatting>
  <conditionalFormatting sqref="C85">
    <cfRule type="containsText" dxfId="0" priority="17" operator="between" text="canceled">
      <formula>NOT(ISERROR(SEARCH("canceled",C85)))</formula>
    </cfRule>
    <cfRule type="containsText" dxfId="1" priority="18" operator="between" text="confirmed">
      <formula>NOT(ISERROR(SEARCH("confirmed",C85)))</formula>
    </cfRule>
    <cfRule type="containsText" dxfId="2" priority="19" operator="between" text="postponed">
      <formula>NOT(ISERROR(SEARCH("postponed",C85)))</formula>
    </cfRule>
    <cfRule type="containsText" dxfId="3" priority="20" operator="between" text="completed">
      <formula>NOT(ISERROR(SEARCH("completed",C85)))</formula>
    </cfRule>
  </conditionalFormatting>
  <conditionalFormatting sqref="C92">
    <cfRule type="containsText" dxfId="0" priority="5" operator="between" text="canceled">
      <formula>NOT(ISERROR(SEARCH("canceled",C92)))</formula>
    </cfRule>
    <cfRule type="containsText" dxfId="1" priority="6" operator="between" text="confirmed">
      <formula>NOT(ISERROR(SEARCH("confirmed",C92)))</formula>
    </cfRule>
    <cfRule type="containsText" dxfId="2" priority="7" operator="between" text="postponed">
      <formula>NOT(ISERROR(SEARCH("postponed",C92)))</formula>
    </cfRule>
    <cfRule type="containsText" dxfId="3" priority="8" operator="between" text="completed">
      <formula>NOT(ISERROR(SEARCH("completed",C92)))</formula>
    </cfRule>
  </conditionalFormatting>
  <conditionalFormatting sqref="C102">
    <cfRule type="containsText" dxfId="0" priority="41" operator="between" text="canceled">
      <formula>NOT(ISERROR(SEARCH("canceled",C102)))</formula>
    </cfRule>
    <cfRule type="containsText" dxfId="1" priority="42" operator="between" text="confirmed">
      <formula>NOT(ISERROR(SEARCH("confirmed",C102)))</formula>
    </cfRule>
    <cfRule type="containsText" dxfId="2" priority="43" operator="between" text="postponed">
      <formula>NOT(ISERROR(SEARCH("postponed",C102)))</formula>
    </cfRule>
    <cfRule type="containsText" dxfId="3" priority="44" operator="between" text="completed">
      <formula>NOT(ISERROR(SEARCH("completed",C102)))</formula>
    </cfRule>
  </conditionalFormatting>
  <conditionalFormatting sqref="C115">
    <cfRule type="containsText" dxfId="0" priority="29" operator="between" text="canceled">
      <formula>NOT(ISERROR(SEARCH("canceled",C115)))</formula>
    </cfRule>
    <cfRule type="containsText" dxfId="1" priority="30" operator="between" text="confirmed">
      <formula>NOT(ISERROR(SEARCH("confirmed",C115)))</formula>
    </cfRule>
    <cfRule type="containsText" dxfId="2" priority="31" operator="between" text="postponed">
      <formula>NOT(ISERROR(SEARCH("postponed",C115)))</formula>
    </cfRule>
    <cfRule type="containsText" dxfId="3" priority="32" operator="between" text="completed">
      <formula>NOT(ISERROR(SEARCH("completed",C115)))</formula>
    </cfRule>
  </conditionalFormatting>
  <conditionalFormatting sqref="C103:C104">
    <cfRule type="containsText" dxfId="0" priority="37" operator="between" text="canceled">
      <formula>NOT(ISERROR(SEARCH("canceled",C103)))</formula>
    </cfRule>
    <cfRule type="containsText" dxfId="1" priority="38" operator="between" text="confirmed">
      <formula>NOT(ISERROR(SEARCH("confirmed",C103)))</formula>
    </cfRule>
    <cfRule type="containsText" dxfId="2" priority="39" operator="between" text="postponed">
      <formula>NOT(ISERROR(SEARCH("postponed",C103)))</formula>
    </cfRule>
    <cfRule type="containsText" dxfId="3" priority="40" operator="between" text="completed">
      <formula>NOT(ISERROR(SEARCH("completed",C103)))</formula>
    </cfRule>
  </conditionalFormatting>
  <conditionalFormatting sqref="C113:C114">
    <cfRule type="containsText" dxfId="0" priority="9" operator="between" text="canceled">
      <formula>NOT(ISERROR(SEARCH("canceled",C113)))</formula>
    </cfRule>
    <cfRule type="containsText" dxfId="1" priority="10" operator="between" text="confirmed">
      <formula>NOT(ISERROR(SEARCH("confirmed",C113)))</formula>
    </cfRule>
    <cfRule type="containsText" dxfId="2" priority="11" operator="between" text="postponed">
      <formula>NOT(ISERROR(SEARCH("postponed",C113)))</formula>
    </cfRule>
    <cfRule type="containsText" dxfId="3" priority="12" operator="between" text="completed">
      <formula>NOT(ISERROR(SEARCH("completed",C113)))</formula>
    </cfRule>
  </conditionalFormatting>
  <conditionalFormatting sqref="C4:C31 C33:C84 C86:C91 F91:I91 F96:I96 C96:C101 C116:C1096 C105:C112">
    <cfRule type="containsText" dxfId="0" priority="45" operator="between" text="canceled">
      <formula>NOT(ISERROR(SEARCH("canceled",C4)))</formula>
    </cfRule>
    <cfRule type="containsText" dxfId="1" priority="46" operator="between" text="confirmed">
      <formula>NOT(ISERROR(SEARCH("confirmed",C4)))</formula>
    </cfRule>
    <cfRule type="containsText" dxfId="2" priority="47" operator="between" text="postponed">
      <formula>NOT(ISERROR(SEARCH("postponed",C4)))</formula>
    </cfRule>
    <cfRule type="containsText" dxfId="3" priority="48" operator="between" text="completed">
      <formula>NOT(ISERROR(SEARCH("completed",C4)))</formula>
    </cfRule>
  </conditionalFormatting>
  <conditionalFormatting sqref="C93:C95 F93:I95">
    <cfRule type="containsText" dxfId="0" priority="21" operator="between" text="canceled">
      <formula>NOT(ISERROR(SEARCH("canceled",C93)))</formula>
    </cfRule>
    <cfRule type="containsText" dxfId="1" priority="22" operator="between" text="confirmed">
      <formula>NOT(ISERROR(SEARCH("confirmed",C93)))</formula>
    </cfRule>
    <cfRule type="containsText" dxfId="2" priority="23" operator="between" text="postponed">
      <formula>NOT(ISERROR(SEARCH("postponed",C93)))</formula>
    </cfRule>
    <cfRule type="containsText" dxfId="3" priority="24" operator="between" text="completed">
      <formula>NOT(ISERROR(SEARCH("completed",C93)))</formula>
    </cfRule>
  </conditionalFormatting>
  <pageMargins left="0.75" right="0.75" top="1" bottom="1" header="0" footer="0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6:P21"/>
  <sheetViews>
    <sheetView zoomScale="125" zoomScaleNormal="125" topLeftCell="A3" workbookViewId="0">
      <selection activeCell="D22" sqref="D22"/>
    </sheetView>
  </sheetViews>
  <sheetFormatPr defaultColWidth="14.4296875" defaultRowHeight="15" customHeight="1"/>
  <cols>
    <col min="1" max="1" width="4.6875" style="48" customWidth="1"/>
    <col min="2" max="2" width="11.0625" style="47" customWidth="1"/>
    <col min="3" max="3" width="15.234375" style="124" customWidth="1"/>
    <col min="4" max="4" width="16.015625" style="124" customWidth="1"/>
    <col min="5" max="5" width="17.0546875" style="124" customWidth="1"/>
    <col min="6" max="6" width="17.1796875" style="47" customWidth="1"/>
    <col min="7" max="7" width="14.4296875" style="47"/>
    <col min="8" max="8" width="14.6796875" style="47" customWidth="1"/>
    <col min="9" max="16384" width="14.4296875" style="47"/>
  </cols>
  <sheetData>
    <row r="6" ht="53" customHeight="1" spans="1:16">
      <c r="A6" s="125" t="s">
        <v>1233</v>
      </c>
      <c r="B6" s="125"/>
      <c r="C6" s="125"/>
      <c r="D6" s="125"/>
      <c r="E6" s="125"/>
      <c r="F6" s="125"/>
      <c r="G6" s="125"/>
      <c r="H6" s="141"/>
      <c r="I6" s="156"/>
      <c r="J6" s="156"/>
      <c r="K6" s="156"/>
      <c r="L6" s="156"/>
      <c r="M6" s="156"/>
      <c r="N6" s="156"/>
      <c r="O6" s="156"/>
      <c r="P6" s="156"/>
    </row>
    <row r="7" s="123" customFormat="1" ht="30" customHeight="1" spans="1:16">
      <c r="A7" s="126" t="s">
        <v>1234</v>
      </c>
      <c r="B7" s="127" t="s">
        <v>7</v>
      </c>
      <c r="C7" s="128" t="s">
        <v>1235</v>
      </c>
      <c r="D7" s="129"/>
      <c r="E7" s="143" t="s">
        <v>1236</v>
      </c>
      <c r="F7" s="143" t="s">
        <v>1237</v>
      </c>
      <c r="G7" s="131" t="s">
        <v>1238</v>
      </c>
      <c r="H7" s="144" t="s">
        <v>47</v>
      </c>
      <c r="I7" s="157"/>
      <c r="J7" s="158"/>
      <c r="K7" s="159"/>
      <c r="L7" s="160"/>
      <c r="M7" s="167"/>
      <c r="N7" s="167"/>
      <c r="O7" s="158"/>
      <c r="P7" s="158"/>
    </row>
    <row r="8" s="123" customFormat="1" ht="31" customHeight="1" spans="1:16">
      <c r="A8" s="130"/>
      <c r="B8" s="131"/>
      <c r="C8" s="132" t="s">
        <v>84</v>
      </c>
      <c r="D8" s="133" t="s">
        <v>389</v>
      </c>
      <c r="E8" s="145"/>
      <c r="F8" s="145"/>
      <c r="G8" s="146"/>
      <c r="H8" s="144"/>
      <c r="I8" s="157"/>
      <c r="J8" s="158"/>
      <c r="K8" s="160"/>
      <c r="L8" s="161"/>
      <c r="M8" s="167"/>
      <c r="N8" s="167"/>
      <c r="O8" s="158"/>
      <c r="P8" s="158"/>
    </row>
    <row r="9" ht="23" customHeight="1" spans="1:16">
      <c r="A9" s="134">
        <v>1</v>
      </c>
      <c r="B9" s="135" t="s">
        <v>86</v>
      </c>
      <c r="C9" s="136">
        <v>98104</v>
      </c>
      <c r="D9" s="136">
        <v>151716</v>
      </c>
      <c r="E9" s="147">
        <f>SUM(C9:D9)</f>
        <v>249820</v>
      </c>
      <c r="F9" s="18">
        <v>27098</v>
      </c>
      <c r="G9" s="18">
        <v>284239</v>
      </c>
      <c r="H9" s="148">
        <v>0</v>
      </c>
      <c r="I9" s="162"/>
      <c r="J9" s="163"/>
      <c r="K9" s="148"/>
      <c r="L9" s="148"/>
      <c r="M9" s="148"/>
      <c r="N9" s="148"/>
      <c r="O9" s="168"/>
      <c r="P9" s="168"/>
    </row>
    <row r="10" ht="25" customHeight="1" spans="1:16">
      <c r="A10" s="134">
        <v>2</v>
      </c>
      <c r="B10" s="135" t="s">
        <v>50</v>
      </c>
      <c r="C10" s="137">
        <v>1629201</v>
      </c>
      <c r="D10" s="18">
        <v>1875940</v>
      </c>
      <c r="E10" s="147">
        <f>SUM(C10:D10)</f>
        <v>3505141</v>
      </c>
      <c r="F10" s="147">
        <v>1744705</v>
      </c>
      <c r="G10" s="149">
        <v>3284965</v>
      </c>
      <c r="H10" s="150">
        <v>932501</v>
      </c>
      <c r="I10" s="162"/>
      <c r="J10" s="163"/>
      <c r="K10" s="148"/>
      <c r="L10" s="148"/>
      <c r="M10" s="148"/>
      <c r="N10" s="148"/>
      <c r="O10" s="168"/>
      <c r="P10" s="168"/>
    </row>
    <row r="11" s="123" customFormat="1" ht="31" customHeight="1" spans="1:16">
      <c r="A11" s="138" t="s">
        <v>1239</v>
      </c>
      <c r="B11" s="139"/>
      <c r="C11" s="140">
        <f t="shared" ref="C11:H11" si="0">SUM(C9:C10)</f>
        <v>1727305</v>
      </c>
      <c r="D11" s="140">
        <f t="shared" si="0"/>
        <v>2027656</v>
      </c>
      <c r="E11" s="151">
        <f t="shared" si="0"/>
        <v>3754961</v>
      </c>
      <c r="F11" s="151">
        <f t="shared" si="0"/>
        <v>1771803</v>
      </c>
      <c r="G11" s="152">
        <f t="shared" si="0"/>
        <v>3569204</v>
      </c>
      <c r="H11" s="153">
        <f t="shared" si="0"/>
        <v>932501</v>
      </c>
      <c r="I11" s="164"/>
      <c r="J11" s="164"/>
      <c r="K11" s="165"/>
      <c r="L11" s="165"/>
      <c r="M11" s="165"/>
      <c r="N11" s="165"/>
      <c r="O11" s="169"/>
      <c r="P11" s="169"/>
    </row>
    <row r="13" ht="26" customHeight="1" spans="1:9">
      <c r="A13" s="141" t="s">
        <v>1240</v>
      </c>
      <c r="B13" s="142"/>
      <c r="C13" s="142"/>
      <c r="D13" s="142"/>
      <c r="E13" s="142"/>
      <c r="F13" s="142"/>
      <c r="G13" s="142"/>
      <c r="H13" s="142"/>
      <c r="I13" s="166"/>
    </row>
    <row r="14" ht="28" customHeight="1" spans="1:9">
      <c r="A14" s="126" t="s">
        <v>1234</v>
      </c>
      <c r="B14" s="127" t="s">
        <v>7</v>
      </c>
      <c r="C14" s="128" t="s">
        <v>1235</v>
      </c>
      <c r="D14" s="129"/>
      <c r="E14" s="143" t="s">
        <v>1236</v>
      </c>
      <c r="F14" s="143" t="s">
        <v>1237</v>
      </c>
      <c r="G14" s="154" t="s">
        <v>1238</v>
      </c>
      <c r="H14" s="131" t="s">
        <v>47</v>
      </c>
      <c r="I14" s="131"/>
    </row>
    <row r="15" ht="17" customHeight="1" spans="1:9">
      <c r="A15" s="130"/>
      <c r="B15" s="131"/>
      <c r="C15" s="132" t="s">
        <v>84</v>
      </c>
      <c r="D15" s="133" t="s">
        <v>389</v>
      </c>
      <c r="E15" s="145"/>
      <c r="F15" s="145"/>
      <c r="G15" s="146"/>
      <c r="H15" s="154" t="s">
        <v>599</v>
      </c>
      <c r="I15" s="131" t="s">
        <v>48</v>
      </c>
    </row>
    <row r="16" ht="23" customHeight="1" spans="1:9">
      <c r="A16" s="134">
        <v>1</v>
      </c>
      <c r="B16" s="135" t="s">
        <v>86</v>
      </c>
      <c r="C16" s="136">
        <v>220888</v>
      </c>
      <c r="D16" s="18">
        <v>0</v>
      </c>
      <c r="E16" s="147">
        <f>SUM(C16:D16)</f>
        <v>220888</v>
      </c>
      <c r="F16" s="18">
        <v>27098</v>
      </c>
      <c r="G16" s="18">
        <v>313171</v>
      </c>
      <c r="H16" s="148">
        <v>189960</v>
      </c>
      <c r="I16" s="137">
        <v>0</v>
      </c>
    </row>
    <row r="17" ht="26" customHeight="1" spans="1:9">
      <c r="A17" s="134">
        <v>2</v>
      </c>
      <c r="B17" s="135" t="s">
        <v>50</v>
      </c>
      <c r="C17" s="137">
        <v>5618825</v>
      </c>
      <c r="D17" s="18">
        <v>1917204</v>
      </c>
      <c r="E17" s="147">
        <f>SUM(C17:D17)</f>
        <v>7536029</v>
      </c>
      <c r="F17" s="147">
        <v>3405160</v>
      </c>
      <c r="G17" s="149">
        <v>3391377</v>
      </c>
      <c r="H17" s="150">
        <v>2978002</v>
      </c>
      <c r="I17" s="149">
        <v>932501</v>
      </c>
    </row>
    <row r="18" ht="22" customHeight="1" spans="1:9">
      <c r="A18" s="138" t="s">
        <v>1239</v>
      </c>
      <c r="B18" s="139"/>
      <c r="C18" s="140">
        <f t="shared" ref="C18:I18" si="1">SUM(C16:C17)</f>
        <v>5839713</v>
      </c>
      <c r="D18" s="140">
        <f t="shared" si="1"/>
        <v>1917204</v>
      </c>
      <c r="E18" s="151">
        <f t="shared" si="1"/>
        <v>7756917</v>
      </c>
      <c r="F18" s="151">
        <f t="shared" si="1"/>
        <v>3432258</v>
      </c>
      <c r="G18" s="152">
        <f t="shared" si="1"/>
        <v>3704548</v>
      </c>
      <c r="H18" s="153">
        <f t="shared" si="1"/>
        <v>3167962</v>
      </c>
      <c r="I18" s="152">
        <f t="shared" si="1"/>
        <v>932501</v>
      </c>
    </row>
    <row r="21" customHeight="1" spans="6:6">
      <c r="F21" s="155"/>
    </row>
  </sheetData>
  <mergeCells count="25">
    <mergeCell ref="A6:H6"/>
    <mergeCell ref="I6:P6"/>
    <mergeCell ref="C7:D7"/>
    <mergeCell ref="K7:L7"/>
    <mergeCell ref="A11:B11"/>
    <mergeCell ref="I11:J11"/>
    <mergeCell ref="A13:I13"/>
    <mergeCell ref="C14:D14"/>
    <mergeCell ref="H14:I14"/>
    <mergeCell ref="A18:B18"/>
    <mergeCell ref="A7:A8"/>
    <mergeCell ref="A14:A15"/>
    <mergeCell ref="B7:B8"/>
    <mergeCell ref="B14:B15"/>
    <mergeCell ref="E7:E8"/>
    <mergeCell ref="E14:E15"/>
    <mergeCell ref="F7:F8"/>
    <mergeCell ref="F14:F15"/>
    <mergeCell ref="G7:G8"/>
    <mergeCell ref="G14:G15"/>
    <mergeCell ref="J7:J8"/>
    <mergeCell ref="M7:M8"/>
    <mergeCell ref="N7:N8"/>
    <mergeCell ref="O7:O8"/>
    <mergeCell ref="P7:P8"/>
  </mergeCells>
  <printOptions horizontalCentered="1" gridLines="1"/>
  <pageMargins left="0.25" right="0.25" top="0.25" bottom="0.25" header="0" footer="0"/>
  <pageSetup paperSize="9" fitToHeight="0" pageOrder="overThenDown" orientation="landscape" cellComments="atEnd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6"/>
  <sheetViews>
    <sheetView zoomScale="65" zoomScaleNormal="65" workbookViewId="0">
      <selection activeCell="A18" sqref="$A18:$XFD18"/>
    </sheetView>
  </sheetViews>
  <sheetFormatPr defaultColWidth="9" defaultRowHeight="16.8"/>
  <cols>
    <col min="1" max="1" width="21.4765625" style="47" customWidth="1"/>
    <col min="2" max="2" width="16.9296875" customWidth="1"/>
    <col min="3" max="3" width="10.8046875" style="47" customWidth="1"/>
    <col min="4" max="4" width="20.8359375" style="47" customWidth="1"/>
    <col min="5" max="5" width="19.140625" style="47" customWidth="1"/>
    <col min="6" max="6" width="20.3125" style="47" customWidth="1"/>
    <col min="7" max="7" width="20.046875" style="47" customWidth="1"/>
    <col min="8" max="8" width="17.3125" style="47" customWidth="1"/>
    <col min="9" max="9" width="19.140625" style="47" customWidth="1"/>
    <col min="10" max="10" width="14.5859375" style="47" customWidth="1"/>
    <col min="11" max="12" width="9" style="47"/>
    <col min="13" max="13" width="16.7890625" style="47" customWidth="1"/>
    <col min="14" max="15" width="9" style="47"/>
    <col min="16" max="16" width="26.4296875" style="47" customWidth="1"/>
    <col min="17" max="44" width="9" style="47"/>
  </cols>
  <sheetData>
    <row r="1" ht="84" spans="1:45">
      <c r="A1" s="62" t="s">
        <v>1</v>
      </c>
      <c r="B1" s="62" t="s">
        <v>2</v>
      </c>
      <c r="C1" s="62" t="s">
        <v>3</v>
      </c>
      <c r="D1" s="61" t="s">
        <v>4</v>
      </c>
      <c r="E1" s="84" t="s">
        <v>5</v>
      </c>
      <c r="F1" s="84" t="s">
        <v>7</v>
      </c>
      <c r="G1" s="62" t="s">
        <v>8</v>
      </c>
      <c r="H1" s="61" t="s">
        <v>9</v>
      </c>
      <c r="I1" s="62" t="s">
        <v>10</v>
      </c>
      <c r="J1" s="62" t="s">
        <v>11</v>
      </c>
      <c r="K1" s="62" t="s">
        <v>12</v>
      </c>
      <c r="L1" s="61" t="s">
        <v>13</v>
      </c>
      <c r="M1" s="62" t="s">
        <v>14</v>
      </c>
      <c r="N1" s="92" t="s">
        <v>15</v>
      </c>
      <c r="O1" s="62" t="s">
        <v>16</v>
      </c>
      <c r="P1" s="62" t="s">
        <v>17</v>
      </c>
      <c r="Q1" s="62" t="s">
        <v>18</v>
      </c>
      <c r="R1" s="62" t="s">
        <v>19</v>
      </c>
      <c r="S1" s="61" t="s">
        <v>20</v>
      </c>
      <c r="T1" s="61" t="s">
        <v>21</v>
      </c>
      <c r="U1" s="62" t="s">
        <v>22</v>
      </c>
      <c r="V1" s="62" t="s">
        <v>23</v>
      </c>
      <c r="W1" s="62" t="s">
        <v>24</v>
      </c>
      <c r="X1" s="99" t="s">
        <v>25</v>
      </c>
      <c r="Y1" s="62" t="s">
        <v>26</v>
      </c>
      <c r="Z1" s="62" t="s">
        <v>27</v>
      </c>
      <c r="AA1" s="62" t="s">
        <v>28</v>
      </c>
      <c r="AB1" s="62" t="s">
        <v>29</v>
      </c>
      <c r="AC1" s="62" t="s">
        <v>30</v>
      </c>
      <c r="AD1" s="110" t="s">
        <v>31</v>
      </c>
      <c r="AE1" s="110" t="s">
        <v>32</v>
      </c>
      <c r="AF1" s="110" t="s">
        <v>33</v>
      </c>
      <c r="AG1" s="110" t="s">
        <v>34</v>
      </c>
      <c r="AH1" s="110" t="s">
        <v>35</v>
      </c>
      <c r="AI1" s="110" t="s">
        <v>36</v>
      </c>
      <c r="AJ1" s="110" t="s">
        <v>37</v>
      </c>
      <c r="AK1" s="110" t="s">
        <v>38</v>
      </c>
      <c r="AL1" s="110" t="s">
        <v>39</v>
      </c>
      <c r="AM1" s="110" t="s">
        <v>40</v>
      </c>
      <c r="AN1" s="110" t="s">
        <v>41</v>
      </c>
      <c r="AO1" s="110" t="s">
        <v>42</v>
      </c>
      <c r="AP1" s="62" t="s">
        <v>43</v>
      </c>
      <c r="AQ1" s="110" t="s">
        <v>44</v>
      </c>
      <c r="AR1" s="62" t="s">
        <v>4</v>
      </c>
      <c r="AS1" s="7" t="s">
        <v>45</v>
      </c>
    </row>
    <row r="2" s="78" customFormat="1" ht="34" customHeight="1" spans="1:45">
      <c r="A2" s="68" t="s">
        <v>754</v>
      </c>
      <c r="B2" s="52" t="s">
        <v>60</v>
      </c>
      <c r="C2" s="79" t="s">
        <v>599</v>
      </c>
      <c r="D2" s="80">
        <v>46206</v>
      </c>
      <c r="E2" s="68" t="s">
        <v>266</v>
      </c>
      <c r="F2" s="68" t="s">
        <v>50</v>
      </c>
      <c r="G2" s="68" t="s">
        <v>755</v>
      </c>
      <c r="H2" s="64" t="s">
        <v>756</v>
      </c>
      <c r="I2" s="89" t="s">
        <v>757</v>
      </c>
      <c r="J2" s="82" t="s">
        <v>212</v>
      </c>
      <c r="K2" s="90">
        <v>2</v>
      </c>
      <c r="L2" s="90">
        <v>450.4</v>
      </c>
      <c r="M2" s="65">
        <v>389837</v>
      </c>
      <c r="N2" s="93"/>
      <c r="O2" s="65"/>
      <c r="P2" s="82" t="s">
        <v>758</v>
      </c>
      <c r="Q2" s="90">
        <v>2</v>
      </c>
      <c r="R2" s="96"/>
      <c r="S2" s="97"/>
      <c r="T2" s="97"/>
      <c r="U2" s="100" t="s">
        <v>759</v>
      </c>
      <c r="V2" s="100" t="s">
        <v>760</v>
      </c>
      <c r="W2" s="101">
        <v>0.1875</v>
      </c>
      <c r="X2" s="101">
        <v>0.833333333333333</v>
      </c>
      <c r="Y2" s="108"/>
      <c r="Z2" s="108"/>
      <c r="AA2" s="108"/>
      <c r="AB2" s="108"/>
      <c r="AC2" s="111"/>
      <c r="AD2" s="112"/>
      <c r="AE2" s="112"/>
      <c r="AF2" s="113"/>
      <c r="AG2" s="114"/>
      <c r="AH2" s="114"/>
      <c r="AI2" s="114"/>
      <c r="AJ2" s="115"/>
      <c r="AK2" s="116"/>
      <c r="AL2" s="116"/>
      <c r="AM2" s="116"/>
      <c r="AN2" s="113"/>
      <c r="AO2" s="117"/>
      <c r="AP2" s="118"/>
      <c r="AQ2" s="119">
        <v>-389837</v>
      </c>
      <c r="AR2" s="117"/>
      <c r="AS2" s="120"/>
    </row>
    <row r="3" s="78" customFormat="1" ht="79" customHeight="1" spans="1:45">
      <c r="A3" s="326" t="s">
        <v>811</v>
      </c>
      <c r="B3" s="55" t="s">
        <v>60</v>
      </c>
      <c r="C3" s="79" t="s">
        <v>599</v>
      </c>
      <c r="D3" s="81">
        <v>46095</v>
      </c>
      <c r="E3" s="68"/>
      <c r="F3" s="68" t="s">
        <v>50</v>
      </c>
      <c r="G3" s="68" t="s">
        <v>812</v>
      </c>
      <c r="H3" s="64"/>
      <c r="I3" s="89"/>
      <c r="J3" s="82"/>
      <c r="K3" s="90"/>
      <c r="L3" s="90"/>
      <c r="M3" s="65">
        <v>184267</v>
      </c>
      <c r="N3" s="93"/>
      <c r="O3" s="65"/>
      <c r="P3" s="82"/>
      <c r="Q3" s="90"/>
      <c r="R3" s="96"/>
      <c r="S3" s="97"/>
      <c r="T3" s="98"/>
      <c r="U3" s="102"/>
      <c r="V3" s="103"/>
      <c r="W3" s="101"/>
      <c r="X3" s="101"/>
      <c r="Y3" s="108"/>
      <c r="Z3" s="108"/>
      <c r="AA3" s="108"/>
      <c r="AB3" s="108"/>
      <c r="AC3" s="111"/>
      <c r="AD3" s="112"/>
      <c r="AE3" s="112"/>
      <c r="AF3" s="113"/>
      <c r="AG3" s="114"/>
      <c r="AH3" s="114"/>
      <c r="AI3" s="114"/>
      <c r="AJ3" s="115"/>
      <c r="AK3" s="116"/>
      <c r="AL3" s="116"/>
      <c r="AM3" s="116"/>
      <c r="AN3" s="113"/>
      <c r="AO3" s="117"/>
      <c r="AP3" s="118"/>
      <c r="AQ3" s="119"/>
      <c r="AR3" s="117"/>
      <c r="AS3" s="121"/>
    </row>
    <row r="4" s="78" customFormat="1" ht="51" customHeight="1" spans="1:45">
      <c r="A4" s="68" t="s">
        <v>969</v>
      </c>
      <c r="B4" s="52" t="s">
        <v>970</v>
      </c>
      <c r="C4" s="79" t="s">
        <v>599</v>
      </c>
      <c r="D4" s="82" t="s">
        <v>968</v>
      </c>
      <c r="E4" s="68" t="s">
        <v>971</v>
      </c>
      <c r="F4" s="68" t="s">
        <v>50</v>
      </c>
      <c r="G4" s="68" t="s">
        <v>972</v>
      </c>
      <c r="H4" s="64" t="s">
        <v>52</v>
      </c>
      <c r="I4" s="89" t="s">
        <v>973</v>
      </c>
      <c r="J4" s="82" t="s">
        <v>212</v>
      </c>
      <c r="K4" s="90">
        <v>8</v>
      </c>
      <c r="L4" s="90">
        <v>325.3</v>
      </c>
      <c r="M4" s="65">
        <v>1052188</v>
      </c>
      <c r="N4" s="93"/>
      <c r="O4" s="65"/>
      <c r="P4" s="82" t="s">
        <v>974</v>
      </c>
      <c r="Q4" s="90">
        <v>1</v>
      </c>
      <c r="R4" s="96" t="s">
        <v>975</v>
      </c>
      <c r="S4" s="97"/>
      <c r="T4" s="97"/>
      <c r="U4" s="100" t="s">
        <v>976</v>
      </c>
      <c r="V4" s="100" t="s">
        <v>977</v>
      </c>
      <c r="W4" s="101"/>
      <c r="X4" s="101"/>
      <c r="Y4" s="108"/>
      <c r="Z4" s="108"/>
      <c r="AA4" s="108"/>
      <c r="AB4" s="108"/>
      <c r="AC4" s="111"/>
      <c r="AD4" s="112"/>
      <c r="AE4" s="112"/>
      <c r="AF4" s="113"/>
      <c r="AG4" s="114"/>
      <c r="AH4" s="114"/>
      <c r="AI4" s="114"/>
      <c r="AJ4" s="115"/>
      <c r="AK4" s="116"/>
      <c r="AL4" s="116"/>
      <c r="AM4" s="116"/>
      <c r="AN4" s="113"/>
      <c r="AO4" s="117">
        <v>200000</v>
      </c>
      <c r="AP4" s="118">
        <v>46093</v>
      </c>
      <c r="AQ4" s="119">
        <v>852188</v>
      </c>
      <c r="AR4" s="117"/>
      <c r="AS4" s="121"/>
    </row>
    <row r="5" s="78" customFormat="1" ht="66" customHeight="1" spans="1:45">
      <c r="A5" s="68" t="s">
        <v>978</v>
      </c>
      <c r="B5" s="52" t="s">
        <v>47</v>
      </c>
      <c r="C5" s="79" t="s">
        <v>599</v>
      </c>
      <c r="D5" s="82" t="s">
        <v>968</v>
      </c>
      <c r="E5" s="68" t="s">
        <v>979</v>
      </c>
      <c r="F5" s="68" t="s">
        <v>50</v>
      </c>
      <c r="G5" s="68" t="s">
        <v>980</v>
      </c>
      <c r="H5" s="68">
        <v>764310146</v>
      </c>
      <c r="I5" s="89" t="s">
        <v>981</v>
      </c>
      <c r="J5" s="82" t="s">
        <v>212</v>
      </c>
      <c r="K5" s="90">
        <v>8</v>
      </c>
      <c r="L5" s="90">
        <v>200</v>
      </c>
      <c r="M5" s="65">
        <v>812588</v>
      </c>
      <c r="N5" s="93"/>
      <c r="O5" s="65"/>
      <c r="P5" s="82" t="s">
        <v>982</v>
      </c>
      <c r="Q5" s="90"/>
      <c r="R5" s="96"/>
      <c r="S5" s="97"/>
      <c r="T5" s="97"/>
      <c r="U5" s="100" t="s">
        <v>976</v>
      </c>
      <c r="V5" s="100" t="s">
        <v>98</v>
      </c>
      <c r="W5" s="101">
        <v>0.8125</v>
      </c>
      <c r="X5" s="101">
        <v>0.208333333333333</v>
      </c>
      <c r="Y5" s="108"/>
      <c r="Z5" s="108"/>
      <c r="AA5" s="108"/>
      <c r="AB5" s="108"/>
      <c r="AC5" s="111"/>
      <c r="AD5" s="112"/>
      <c r="AE5" s="112"/>
      <c r="AF5" s="113"/>
      <c r="AG5" s="114"/>
      <c r="AH5" s="114"/>
      <c r="AI5" s="114"/>
      <c r="AJ5" s="115"/>
      <c r="AK5" s="116"/>
      <c r="AL5" s="116"/>
      <c r="AM5" s="116"/>
      <c r="AN5" s="113"/>
      <c r="AO5" s="117">
        <v>406300</v>
      </c>
      <c r="AP5" s="118">
        <v>46086</v>
      </c>
      <c r="AQ5" s="119">
        <v>-406288</v>
      </c>
      <c r="AR5" s="117"/>
      <c r="AS5" s="122"/>
    </row>
    <row r="6" s="78" customFormat="1" ht="46" customHeight="1" spans="1:45">
      <c r="A6" s="68" t="s">
        <v>1032</v>
      </c>
      <c r="B6" s="55" t="s">
        <v>60</v>
      </c>
      <c r="C6" s="79" t="s">
        <v>599</v>
      </c>
      <c r="D6" s="81" t="s">
        <v>1004</v>
      </c>
      <c r="E6" s="68" t="s">
        <v>266</v>
      </c>
      <c r="F6" s="68" t="s">
        <v>50</v>
      </c>
      <c r="G6" s="68" t="s">
        <v>1033</v>
      </c>
      <c r="H6" s="327" t="s">
        <v>1034</v>
      </c>
      <c r="I6" s="89"/>
      <c r="J6" s="82"/>
      <c r="K6" s="90"/>
      <c r="L6" s="90"/>
      <c r="M6" s="65">
        <v>198141</v>
      </c>
      <c r="N6" s="93"/>
      <c r="O6" s="65"/>
      <c r="P6" s="82"/>
      <c r="Q6" s="90"/>
      <c r="R6" s="96"/>
      <c r="S6" s="97"/>
      <c r="T6" s="97"/>
      <c r="U6" s="104"/>
      <c r="V6" s="100"/>
      <c r="W6" s="101"/>
      <c r="X6" s="101"/>
      <c r="Y6" s="108"/>
      <c r="Z6" s="108"/>
      <c r="AA6" s="108"/>
      <c r="AB6" s="108"/>
      <c r="AC6" s="111"/>
      <c r="AD6" s="112"/>
      <c r="AE6" s="112"/>
      <c r="AF6" s="113"/>
      <c r="AG6" s="114"/>
      <c r="AH6" s="114"/>
      <c r="AI6" s="114"/>
      <c r="AJ6" s="115"/>
      <c r="AK6" s="116"/>
      <c r="AL6" s="116"/>
      <c r="AM6" s="116"/>
      <c r="AN6" s="113"/>
      <c r="AO6" s="117"/>
      <c r="AP6" s="118"/>
      <c r="AQ6" s="119"/>
      <c r="AR6" s="117"/>
      <c r="AS6" s="121"/>
    </row>
    <row r="7" s="78" customFormat="1" ht="43" customHeight="1" spans="1:45">
      <c r="A7" s="68">
        <v>1244</v>
      </c>
      <c r="B7" s="55" t="s">
        <v>60</v>
      </c>
      <c r="C7" s="79" t="s">
        <v>599</v>
      </c>
      <c r="D7" s="81">
        <v>46102</v>
      </c>
      <c r="E7" s="68" t="s">
        <v>266</v>
      </c>
      <c r="F7" s="68" t="s">
        <v>50</v>
      </c>
      <c r="G7" s="68" t="s">
        <v>1035</v>
      </c>
      <c r="H7" s="64"/>
      <c r="I7" s="89"/>
      <c r="J7" s="82"/>
      <c r="K7" s="90"/>
      <c r="L7" s="90"/>
      <c r="M7" s="65">
        <v>263197</v>
      </c>
      <c r="N7" s="93"/>
      <c r="O7" s="65"/>
      <c r="P7" s="82"/>
      <c r="Q7" s="90"/>
      <c r="R7" s="96"/>
      <c r="S7" s="97"/>
      <c r="T7" s="97"/>
      <c r="U7" s="104"/>
      <c r="V7" s="100"/>
      <c r="W7" s="101"/>
      <c r="X7" s="101"/>
      <c r="Y7" s="108"/>
      <c r="Z7" s="108"/>
      <c r="AA7" s="108"/>
      <c r="AB7" s="108"/>
      <c r="AC7" s="111"/>
      <c r="AD7" s="112"/>
      <c r="AE7" s="112"/>
      <c r="AF7" s="113"/>
      <c r="AG7" s="114"/>
      <c r="AH7" s="114"/>
      <c r="AI7" s="114"/>
      <c r="AJ7" s="115"/>
      <c r="AK7" s="116"/>
      <c r="AL7" s="116"/>
      <c r="AM7" s="116"/>
      <c r="AN7" s="113"/>
      <c r="AO7" s="117"/>
      <c r="AP7" s="118"/>
      <c r="AQ7" s="119"/>
      <c r="AR7" s="117"/>
      <c r="AS7" s="121"/>
    </row>
    <row r="8" s="78" customFormat="1" ht="43" customHeight="1" spans="1:45">
      <c r="A8" s="68">
        <v>1079</v>
      </c>
      <c r="B8" s="55" t="s">
        <v>60</v>
      </c>
      <c r="C8" s="79" t="s">
        <v>599</v>
      </c>
      <c r="D8" s="81">
        <v>46102</v>
      </c>
      <c r="E8" s="68"/>
      <c r="F8" s="68" t="s">
        <v>50</v>
      </c>
      <c r="G8" s="68" t="s">
        <v>1036</v>
      </c>
      <c r="H8" s="64"/>
      <c r="I8" s="89"/>
      <c r="J8" s="82"/>
      <c r="K8" s="90"/>
      <c r="L8" s="90"/>
      <c r="M8" s="65">
        <v>240110</v>
      </c>
      <c r="N8" s="93"/>
      <c r="O8" s="65"/>
      <c r="P8" s="82"/>
      <c r="Q8" s="90"/>
      <c r="R8" s="96"/>
      <c r="S8" s="97"/>
      <c r="T8" s="97"/>
      <c r="U8" s="104"/>
      <c r="V8" s="100"/>
      <c r="W8" s="101"/>
      <c r="X8" s="101"/>
      <c r="Y8" s="108"/>
      <c r="Z8" s="108"/>
      <c r="AA8" s="108"/>
      <c r="AB8" s="108"/>
      <c r="AC8" s="111"/>
      <c r="AD8" s="112"/>
      <c r="AE8" s="112"/>
      <c r="AF8" s="113"/>
      <c r="AG8" s="114"/>
      <c r="AH8" s="114"/>
      <c r="AI8" s="114"/>
      <c r="AJ8" s="115"/>
      <c r="AK8" s="116"/>
      <c r="AL8" s="116"/>
      <c r="AM8" s="116"/>
      <c r="AN8" s="113"/>
      <c r="AO8" s="117"/>
      <c r="AP8" s="118"/>
      <c r="AQ8" s="119"/>
      <c r="AR8" s="117"/>
      <c r="AS8" s="121"/>
    </row>
    <row r="9" s="78" customFormat="1" ht="43" customHeight="1" spans="1:45">
      <c r="A9" s="68">
        <v>1146</v>
      </c>
      <c r="B9" s="55" t="s">
        <v>60</v>
      </c>
      <c r="C9" s="79" t="s">
        <v>599</v>
      </c>
      <c r="D9" s="81" t="s">
        <v>1004</v>
      </c>
      <c r="E9" s="68" t="s">
        <v>266</v>
      </c>
      <c r="F9" s="68" t="s">
        <v>50</v>
      </c>
      <c r="G9" s="68" t="s">
        <v>1037</v>
      </c>
      <c r="H9" s="64"/>
      <c r="I9" s="89"/>
      <c r="J9" s="82"/>
      <c r="K9" s="90"/>
      <c r="L9" s="90"/>
      <c r="M9" s="65">
        <v>180657</v>
      </c>
      <c r="N9" s="93"/>
      <c r="O9" s="65"/>
      <c r="P9" s="82"/>
      <c r="Q9" s="90"/>
      <c r="R9" s="96"/>
      <c r="S9" s="97"/>
      <c r="T9" s="97"/>
      <c r="U9" s="104"/>
      <c r="V9" s="100"/>
      <c r="W9" s="101"/>
      <c r="X9" s="101"/>
      <c r="Y9" s="108"/>
      <c r="Z9" s="108"/>
      <c r="AA9" s="108"/>
      <c r="AB9" s="108"/>
      <c r="AC9" s="111"/>
      <c r="AD9" s="112"/>
      <c r="AE9" s="112"/>
      <c r="AF9" s="113"/>
      <c r="AG9" s="114"/>
      <c r="AH9" s="114"/>
      <c r="AI9" s="114"/>
      <c r="AJ9" s="115"/>
      <c r="AK9" s="116"/>
      <c r="AL9" s="116"/>
      <c r="AM9" s="116"/>
      <c r="AN9" s="113"/>
      <c r="AO9" s="117"/>
      <c r="AP9" s="118"/>
      <c r="AQ9" s="119"/>
      <c r="AR9" s="117"/>
      <c r="AS9" s="121"/>
    </row>
    <row r="10" s="78" customFormat="1" ht="43" customHeight="1" spans="1:45">
      <c r="A10" s="68" t="s">
        <v>1038</v>
      </c>
      <c r="B10" s="55" t="s">
        <v>60</v>
      </c>
      <c r="C10" s="79" t="s">
        <v>599</v>
      </c>
      <c r="D10" s="81">
        <v>46104</v>
      </c>
      <c r="E10" s="68"/>
      <c r="F10" s="68" t="s">
        <v>50</v>
      </c>
      <c r="G10" s="68" t="s">
        <v>1039</v>
      </c>
      <c r="H10" s="64"/>
      <c r="I10" s="89"/>
      <c r="J10" s="82"/>
      <c r="K10" s="90"/>
      <c r="L10" s="90"/>
      <c r="M10" s="65">
        <v>329553</v>
      </c>
      <c r="N10" s="93"/>
      <c r="O10" s="65"/>
      <c r="P10" s="82"/>
      <c r="Q10" s="90"/>
      <c r="R10" s="96"/>
      <c r="S10" s="97"/>
      <c r="T10" s="97"/>
      <c r="U10" s="104"/>
      <c r="V10" s="100"/>
      <c r="W10" s="101"/>
      <c r="X10" s="101"/>
      <c r="Y10" s="108"/>
      <c r="Z10" s="108"/>
      <c r="AA10" s="108"/>
      <c r="AB10" s="108"/>
      <c r="AC10" s="111"/>
      <c r="AD10" s="112"/>
      <c r="AE10" s="112"/>
      <c r="AF10" s="113"/>
      <c r="AG10" s="114"/>
      <c r="AH10" s="114"/>
      <c r="AI10" s="114"/>
      <c r="AJ10" s="115"/>
      <c r="AK10" s="116"/>
      <c r="AL10" s="116"/>
      <c r="AM10" s="116"/>
      <c r="AN10" s="113"/>
      <c r="AO10" s="117"/>
      <c r="AP10" s="118"/>
      <c r="AQ10" s="119"/>
      <c r="AR10" s="117"/>
      <c r="AS10" s="121"/>
    </row>
    <row r="11" s="78" customFormat="1" ht="50.25" customHeight="1" spans="1:45">
      <c r="A11" s="68">
        <v>1361</v>
      </c>
      <c r="B11" s="52" t="s">
        <v>60</v>
      </c>
      <c r="C11" s="79" t="s">
        <v>599</v>
      </c>
      <c r="D11" s="81">
        <v>46106</v>
      </c>
      <c r="E11" s="68"/>
      <c r="F11" s="68" t="s">
        <v>50</v>
      </c>
      <c r="G11" s="68" t="s">
        <v>1086</v>
      </c>
      <c r="H11" s="69"/>
      <c r="I11" s="89" t="s">
        <v>1087</v>
      </c>
      <c r="J11" s="82"/>
      <c r="K11" s="90"/>
      <c r="L11" s="90"/>
      <c r="M11" s="65">
        <v>218097</v>
      </c>
      <c r="N11" s="93"/>
      <c r="O11" s="65"/>
      <c r="P11" s="82"/>
      <c r="Q11" s="90"/>
      <c r="R11" s="96"/>
      <c r="S11" s="97"/>
      <c r="T11" s="97"/>
      <c r="U11" s="100"/>
      <c r="V11" s="100"/>
      <c r="W11" s="105"/>
      <c r="X11" s="105"/>
      <c r="Y11" s="109"/>
      <c r="Z11" s="109"/>
      <c r="AA11" s="108"/>
      <c r="AB11" s="108"/>
      <c r="AC11" s="111"/>
      <c r="AD11" s="112"/>
      <c r="AE11" s="112"/>
      <c r="AF11" s="113"/>
      <c r="AG11" s="114"/>
      <c r="AH11" s="114"/>
      <c r="AI11" s="114"/>
      <c r="AJ11" s="115"/>
      <c r="AK11" s="116"/>
      <c r="AL11" s="116"/>
      <c r="AM11" s="116"/>
      <c r="AN11" s="113"/>
      <c r="AO11" s="117"/>
      <c r="AP11" s="118"/>
      <c r="AQ11" s="119"/>
      <c r="AR11" s="117"/>
      <c r="AS11" s="122"/>
    </row>
    <row r="12" s="78" customFormat="1" ht="50.25" customHeight="1" spans="1:45">
      <c r="A12" s="68" t="s">
        <v>1088</v>
      </c>
      <c r="B12" s="52" t="s">
        <v>47</v>
      </c>
      <c r="C12" s="79" t="s">
        <v>599</v>
      </c>
      <c r="D12" s="81">
        <v>46108</v>
      </c>
      <c r="E12" s="68" t="s">
        <v>1089</v>
      </c>
      <c r="F12" s="68" t="s">
        <v>50</v>
      </c>
      <c r="G12" s="68" t="s">
        <v>1090</v>
      </c>
      <c r="H12" s="69">
        <v>763366761</v>
      </c>
      <c r="I12" s="89" t="s">
        <v>1091</v>
      </c>
      <c r="J12" s="82" t="s">
        <v>54</v>
      </c>
      <c r="K12" s="90">
        <v>6</v>
      </c>
      <c r="L12" s="90">
        <v>233.1</v>
      </c>
      <c r="M12" s="65">
        <v>600000</v>
      </c>
      <c r="N12" s="93"/>
      <c r="O12" s="65"/>
      <c r="P12" s="82"/>
      <c r="Q12" s="90">
        <v>1</v>
      </c>
      <c r="R12" s="96"/>
      <c r="S12" s="97"/>
      <c r="T12" s="97"/>
      <c r="U12" s="100" t="s">
        <v>1092</v>
      </c>
      <c r="V12" s="100" t="s">
        <v>663</v>
      </c>
      <c r="W12" s="105" t="s">
        <v>99</v>
      </c>
      <c r="X12" s="105" t="s">
        <v>547</v>
      </c>
      <c r="Y12" s="109"/>
      <c r="Z12" s="109"/>
      <c r="AA12" s="108"/>
      <c r="AB12" s="108"/>
      <c r="AC12" s="111"/>
      <c r="AD12" s="112"/>
      <c r="AE12" s="112"/>
      <c r="AF12" s="113"/>
      <c r="AG12" s="114"/>
      <c r="AH12" s="114"/>
      <c r="AI12" s="114"/>
      <c r="AJ12" s="115"/>
      <c r="AK12" s="116"/>
      <c r="AL12" s="116"/>
      <c r="AM12" s="116"/>
      <c r="AN12" s="113"/>
      <c r="AO12" s="117">
        <v>300000</v>
      </c>
      <c r="AP12" s="118">
        <v>46097</v>
      </c>
      <c r="AQ12" s="119">
        <v>300000</v>
      </c>
      <c r="AR12" s="117"/>
      <c r="AS12" s="122"/>
    </row>
    <row r="13" s="78" customFormat="1" ht="59" customHeight="1" spans="1:45">
      <c r="A13" s="68" t="s">
        <v>1093</v>
      </c>
      <c r="B13" s="52" t="s">
        <v>60</v>
      </c>
      <c r="C13" s="79" t="s">
        <v>599</v>
      </c>
      <c r="D13" s="82" t="s">
        <v>1094</v>
      </c>
      <c r="E13" s="68" t="s">
        <v>1095</v>
      </c>
      <c r="F13" s="68" t="s">
        <v>50</v>
      </c>
      <c r="G13" s="68" t="s">
        <v>972</v>
      </c>
      <c r="H13" s="70" t="s">
        <v>52</v>
      </c>
      <c r="I13" s="89" t="s">
        <v>1096</v>
      </c>
      <c r="J13" s="82" t="s">
        <v>212</v>
      </c>
      <c r="K13" s="90">
        <v>8</v>
      </c>
      <c r="L13" s="90">
        <v>480</v>
      </c>
      <c r="M13" s="65">
        <v>1315628</v>
      </c>
      <c r="N13" s="93"/>
      <c r="O13" s="65"/>
      <c r="P13" s="82" t="s">
        <v>974</v>
      </c>
      <c r="Q13" s="90">
        <v>1</v>
      </c>
      <c r="R13" s="96"/>
      <c r="S13" s="97"/>
      <c r="T13" s="97"/>
      <c r="U13" s="100" t="s">
        <v>1097</v>
      </c>
      <c r="V13" s="100" t="s">
        <v>1098</v>
      </c>
      <c r="W13" s="101">
        <v>0.208333333333333</v>
      </c>
      <c r="X13" s="101">
        <v>0.958333333333333</v>
      </c>
      <c r="Y13" s="109"/>
      <c r="Z13" s="109"/>
      <c r="AA13" s="108"/>
      <c r="AB13" s="108"/>
      <c r="AC13" s="111"/>
      <c r="AD13" s="112"/>
      <c r="AE13" s="112"/>
      <c r="AF13" s="113"/>
      <c r="AG13" s="114"/>
      <c r="AH13" s="114"/>
      <c r="AI13" s="114"/>
      <c r="AJ13" s="115"/>
      <c r="AK13" s="116"/>
      <c r="AL13" s="116"/>
      <c r="AM13" s="116"/>
      <c r="AN13" s="113"/>
      <c r="AO13" s="117"/>
      <c r="AP13" s="118"/>
      <c r="AQ13" s="119"/>
      <c r="AR13" s="117"/>
      <c r="AS13" s="122"/>
    </row>
    <row r="14" s="78" customFormat="1" ht="89" customHeight="1" spans="1:45">
      <c r="A14" s="68" t="s">
        <v>1099</v>
      </c>
      <c r="B14" s="52" t="s">
        <v>60</v>
      </c>
      <c r="C14" s="79" t="s">
        <v>599</v>
      </c>
      <c r="D14" s="82" t="s">
        <v>1094</v>
      </c>
      <c r="E14" s="68" t="s">
        <v>1100</v>
      </c>
      <c r="F14" s="68" t="s">
        <v>50</v>
      </c>
      <c r="G14" s="68" t="s">
        <v>972</v>
      </c>
      <c r="H14" s="64" t="s">
        <v>52</v>
      </c>
      <c r="I14" s="89" t="s">
        <v>1101</v>
      </c>
      <c r="J14" s="82" t="s">
        <v>212</v>
      </c>
      <c r="K14" s="90">
        <v>5</v>
      </c>
      <c r="L14" s="90">
        <v>424</v>
      </c>
      <c r="M14" s="65">
        <v>938841</v>
      </c>
      <c r="N14" s="93"/>
      <c r="O14" s="65"/>
      <c r="P14" s="82" t="s">
        <v>1102</v>
      </c>
      <c r="Q14" s="90">
        <v>1</v>
      </c>
      <c r="R14" s="96"/>
      <c r="S14" s="97"/>
      <c r="T14" s="97"/>
      <c r="U14" s="100" t="s">
        <v>1097</v>
      </c>
      <c r="V14" s="100" t="s">
        <v>760</v>
      </c>
      <c r="W14" s="101">
        <v>0.208333333333333</v>
      </c>
      <c r="X14" s="101">
        <v>0.833333333333333</v>
      </c>
      <c r="Y14" s="109"/>
      <c r="Z14" s="109"/>
      <c r="AA14" s="108"/>
      <c r="AB14" s="108"/>
      <c r="AC14" s="111"/>
      <c r="AD14" s="112"/>
      <c r="AE14" s="112"/>
      <c r="AF14" s="113"/>
      <c r="AG14" s="114"/>
      <c r="AH14" s="114"/>
      <c r="AI14" s="114"/>
      <c r="AJ14" s="115"/>
      <c r="AK14" s="116"/>
      <c r="AL14" s="116"/>
      <c r="AM14" s="116"/>
      <c r="AN14" s="113"/>
      <c r="AO14" s="117"/>
      <c r="AP14" s="118"/>
      <c r="AQ14" s="119"/>
      <c r="AR14" s="117"/>
      <c r="AS14" s="122"/>
    </row>
    <row r="15" s="78" customFormat="1" ht="101" spans="1:45">
      <c r="A15" s="68" t="s">
        <v>1103</v>
      </c>
      <c r="B15" s="52" t="s">
        <v>60</v>
      </c>
      <c r="C15" s="79" t="s">
        <v>599</v>
      </c>
      <c r="D15" s="82" t="s">
        <v>1094</v>
      </c>
      <c r="E15" s="68" t="s">
        <v>1104</v>
      </c>
      <c r="F15" s="68" t="s">
        <v>50</v>
      </c>
      <c r="G15" s="68" t="s">
        <v>972</v>
      </c>
      <c r="H15" s="64" t="s">
        <v>52</v>
      </c>
      <c r="I15" s="89" t="s">
        <v>1105</v>
      </c>
      <c r="J15" s="82" t="s">
        <v>212</v>
      </c>
      <c r="K15" s="90">
        <v>5</v>
      </c>
      <c r="L15" s="90">
        <v>300.9</v>
      </c>
      <c r="M15" s="65">
        <v>642667</v>
      </c>
      <c r="N15" s="93"/>
      <c r="O15" s="65"/>
      <c r="P15" s="82" t="s">
        <v>1106</v>
      </c>
      <c r="Q15" s="90">
        <v>1</v>
      </c>
      <c r="R15" s="96"/>
      <c r="S15" s="97"/>
      <c r="T15" s="97"/>
      <c r="U15" s="100" t="s">
        <v>1097</v>
      </c>
      <c r="V15" s="100"/>
      <c r="W15" s="101">
        <v>0.208333333333333</v>
      </c>
      <c r="X15" s="101">
        <v>0.833333333333333</v>
      </c>
      <c r="Y15" s="109"/>
      <c r="Z15" s="109"/>
      <c r="AA15" s="108"/>
      <c r="AB15" s="108"/>
      <c r="AC15" s="111"/>
      <c r="AD15" s="112"/>
      <c r="AE15" s="112"/>
      <c r="AF15" s="113"/>
      <c r="AG15" s="114"/>
      <c r="AH15" s="114"/>
      <c r="AI15" s="114"/>
      <c r="AJ15" s="115"/>
      <c r="AK15" s="116"/>
      <c r="AL15" s="116"/>
      <c r="AM15" s="116"/>
      <c r="AN15" s="113"/>
      <c r="AO15" s="117"/>
      <c r="AP15" s="118"/>
      <c r="AQ15" s="119"/>
      <c r="AR15" s="117"/>
      <c r="AS15" s="122"/>
    </row>
    <row r="16" s="78" customFormat="1" ht="156" customHeight="1" spans="1:45">
      <c r="A16" s="68" t="s">
        <v>1107</v>
      </c>
      <c r="B16" s="52" t="s">
        <v>60</v>
      </c>
      <c r="C16" s="79" t="s">
        <v>599</v>
      </c>
      <c r="D16" s="82" t="s">
        <v>1094</v>
      </c>
      <c r="E16" s="68" t="s">
        <v>1108</v>
      </c>
      <c r="F16" s="68" t="s">
        <v>50</v>
      </c>
      <c r="G16" s="68" t="s">
        <v>1109</v>
      </c>
      <c r="H16" s="64" t="s">
        <v>1110</v>
      </c>
      <c r="I16" s="89" t="s">
        <v>1111</v>
      </c>
      <c r="J16" s="82" t="s">
        <v>212</v>
      </c>
      <c r="K16" s="90">
        <v>9</v>
      </c>
      <c r="L16" s="90">
        <v>330.3</v>
      </c>
      <c r="M16" s="65">
        <v>1222641</v>
      </c>
      <c r="N16" s="93"/>
      <c r="O16" s="65"/>
      <c r="P16" s="82" t="s">
        <v>1112</v>
      </c>
      <c r="Q16" s="90">
        <v>1</v>
      </c>
      <c r="R16" s="96"/>
      <c r="S16" s="97"/>
      <c r="T16" s="97"/>
      <c r="U16" s="100" t="s">
        <v>1097</v>
      </c>
      <c r="V16" s="100" t="s">
        <v>1113</v>
      </c>
      <c r="W16" s="101">
        <v>0.208333333333333</v>
      </c>
      <c r="X16" s="101">
        <v>0.833333333333333</v>
      </c>
      <c r="Y16" s="109"/>
      <c r="Z16" s="109"/>
      <c r="AA16" s="108"/>
      <c r="AB16" s="108"/>
      <c r="AC16" s="111"/>
      <c r="AD16" s="112"/>
      <c r="AE16" s="112"/>
      <c r="AF16" s="113"/>
      <c r="AG16" s="114"/>
      <c r="AH16" s="114"/>
      <c r="AI16" s="114"/>
      <c r="AJ16" s="115"/>
      <c r="AK16" s="116"/>
      <c r="AL16" s="116"/>
      <c r="AM16" s="116"/>
      <c r="AN16" s="113"/>
      <c r="AO16" s="117">
        <v>0</v>
      </c>
      <c r="AP16" s="118"/>
      <c r="AQ16" s="119"/>
      <c r="AR16" s="117"/>
      <c r="AS16" s="122"/>
    </row>
    <row r="17" s="78" customFormat="1" ht="43" customHeight="1" spans="1:45">
      <c r="A17" s="68">
        <v>1027</v>
      </c>
      <c r="B17" s="55" t="s">
        <v>512</v>
      </c>
      <c r="C17" s="79" t="s">
        <v>599</v>
      </c>
      <c r="D17" s="81">
        <v>46109</v>
      </c>
      <c r="E17" s="68" t="s">
        <v>1149</v>
      </c>
      <c r="F17" s="68" t="s">
        <v>50</v>
      </c>
      <c r="G17" s="68" t="s">
        <v>1150</v>
      </c>
      <c r="H17" s="64"/>
      <c r="I17" s="89"/>
      <c r="J17" s="82"/>
      <c r="K17" s="90"/>
      <c r="L17" s="90"/>
      <c r="M17" s="65">
        <v>210226</v>
      </c>
      <c r="N17" s="93"/>
      <c r="O17" s="65"/>
      <c r="P17" s="82"/>
      <c r="Q17" s="90"/>
      <c r="R17" s="96"/>
      <c r="S17" s="97"/>
      <c r="T17" s="98"/>
      <c r="U17" s="102"/>
      <c r="V17" s="103"/>
      <c r="W17" s="101"/>
      <c r="X17" s="101"/>
      <c r="Y17" s="108"/>
      <c r="Z17" s="108"/>
      <c r="AA17" s="108"/>
      <c r="AB17" s="108"/>
      <c r="AC17" s="111"/>
      <c r="AD17" s="112"/>
      <c r="AE17" s="112"/>
      <c r="AF17" s="113"/>
      <c r="AG17" s="114"/>
      <c r="AH17" s="114"/>
      <c r="AI17" s="114"/>
      <c r="AJ17" s="115"/>
      <c r="AK17" s="116"/>
      <c r="AL17" s="116"/>
      <c r="AM17" s="116"/>
      <c r="AN17" s="113"/>
      <c r="AO17" s="117"/>
      <c r="AP17" s="118"/>
      <c r="AQ17" s="119"/>
      <c r="AR17" s="117"/>
      <c r="AS17" s="121"/>
    </row>
    <row r="18" s="78" customFormat="1" ht="39.75" customHeight="1" spans="1:45">
      <c r="A18" s="68" t="s">
        <v>1151</v>
      </c>
      <c r="B18" s="55" t="s">
        <v>47</v>
      </c>
      <c r="C18" s="79" t="s">
        <v>599</v>
      </c>
      <c r="D18" s="81">
        <v>46109</v>
      </c>
      <c r="E18" s="68"/>
      <c r="F18" s="68" t="s">
        <v>50</v>
      </c>
      <c r="G18" s="68" t="s">
        <v>1152</v>
      </c>
      <c r="H18" s="68"/>
      <c r="I18" s="89"/>
      <c r="J18" s="82"/>
      <c r="K18" s="90"/>
      <c r="L18" s="90"/>
      <c r="M18" s="65">
        <v>412962</v>
      </c>
      <c r="N18" s="93"/>
      <c r="O18" s="65"/>
      <c r="P18" s="82"/>
      <c r="Q18" s="90"/>
      <c r="R18" s="96"/>
      <c r="S18" s="97"/>
      <c r="T18" s="97"/>
      <c r="U18" s="89"/>
      <c r="V18" s="100"/>
      <c r="W18" s="105"/>
      <c r="X18" s="105"/>
      <c r="Y18" s="109"/>
      <c r="Z18" s="109"/>
      <c r="AA18" s="108"/>
      <c r="AB18" s="108"/>
      <c r="AC18" s="111"/>
      <c r="AD18" s="112"/>
      <c r="AE18" s="112"/>
      <c r="AF18" s="113"/>
      <c r="AG18" s="114"/>
      <c r="AH18" s="114"/>
      <c r="AI18" s="114"/>
      <c r="AJ18" s="115"/>
      <c r="AK18" s="116"/>
      <c r="AL18" s="116"/>
      <c r="AM18" s="116"/>
      <c r="AN18" s="113"/>
      <c r="AO18" s="117"/>
      <c r="AP18" s="118"/>
      <c r="AQ18" s="119"/>
      <c r="AR18" s="117"/>
      <c r="AS18" s="122"/>
    </row>
    <row r="19" s="78" customFormat="1" ht="39.75" customHeight="1" spans="1:45">
      <c r="A19" s="68" t="s">
        <v>1215</v>
      </c>
      <c r="B19" s="52" t="s">
        <v>47</v>
      </c>
      <c r="C19" s="79" t="s">
        <v>599</v>
      </c>
      <c r="D19" s="83">
        <v>46112</v>
      </c>
      <c r="E19" s="85" t="s">
        <v>1216</v>
      </c>
      <c r="F19" s="86" t="s">
        <v>50</v>
      </c>
      <c r="G19" s="68" t="s">
        <v>1217</v>
      </c>
      <c r="H19" s="64">
        <v>777624984</v>
      </c>
      <c r="I19" s="89" t="s">
        <v>1218</v>
      </c>
      <c r="J19" s="82" t="s">
        <v>1219</v>
      </c>
      <c r="K19" s="90">
        <v>1</v>
      </c>
      <c r="L19" s="91">
        <v>214.9</v>
      </c>
      <c r="M19" s="65">
        <v>705472.183823529</v>
      </c>
      <c r="N19" s="93"/>
      <c r="O19" s="65"/>
      <c r="P19" s="82"/>
      <c r="Q19" s="90">
        <v>1</v>
      </c>
      <c r="R19" s="96"/>
      <c r="S19" s="97"/>
      <c r="T19" s="97"/>
      <c r="U19" s="100" t="s">
        <v>1220</v>
      </c>
      <c r="V19" s="106" t="s">
        <v>1221</v>
      </c>
      <c r="W19" s="105" t="s">
        <v>99</v>
      </c>
      <c r="X19" s="105" t="s">
        <v>358</v>
      </c>
      <c r="Y19" s="109"/>
      <c r="Z19" s="109"/>
      <c r="AA19" s="108"/>
      <c r="AB19" s="108"/>
      <c r="AC19" s="111"/>
      <c r="AD19" s="112"/>
      <c r="AE19" s="112"/>
      <c r="AF19" s="113"/>
      <c r="AG19" s="114"/>
      <c r="AH19" s="114"/>
      <c r="AI19" s="114"/>
      <c r="AJ19" s="115"/>
      <c r="AK19" s="116"/>
      <c r="AL19" s="116"/>
      <c r="AM19" s="116"/>
      <c r="AN19" s="113"/>
      <c r="AO19" s="117">
        <v>5000</v>
      </c>
      <c r="AP19" s="118">
        <v>46093</v>
      </c>
      <c r="AQ19" s="119">
        <v>95264</v>
      </c>
      <c r="AR19" s="117"/>
      <c r="AS19" s="122"/>
    </row>
    <row r="20" s="78" customFormat="1" ht="40.5" customHeight="1" spans="1:45">
      <c r="A20" s="68" t="s">
        <v>46</v>
      </c>
      <c r="B20" s="60" t="s">
        <v>47</v>
      </c>
      <c r="C20" s="79" t="s">
        <v>48</v>
      </c>
      <c r="D20" s="80">
        <v>46057</v>
      </c>
      <c r="E20" s="85" t="s">
        <v>1222</v>
      </c>
      <c r="F20" s="87" t="s">
        <v>50</v>
      </c>
      <c r="G20" s="68" t="s">
        <v>51</v>
      </c>
      <c r="H20" s="72" t="s">
        <v>52</v>
      </c>
      <c r="I20" s="89" t="s">
        <v>53</v>
      </c>
      <c r="J20" s="82" t="s">
        <v>54</v>
      </c>
      <c r="K20" s="90">
        <v>5</v>
      </c>
      <c r="L20" s="90">
        <v>37.3</v>
      </c>
      <c r="M20" s="65">
        <v>397629</v>
      </c>
      <c r="N20" s="93"/>
      <c r="O20" s="65"/>
      <c r="P20" s="82"/>
      <c r="Q20" s="90">
        <v>1</v>
      </c>
      <c r="R20" s="96"/>
      <c r="S20" s="97"/>
      <c r="T20" s="97"/>
      <c r="U20" s="100"/>
      <c r="V20" s="107"/>
      <c r="W20" s="105"/>
      <c r="X20" s="105"/>
      <c r="Y20" s="109"/>
      <c r="Z20" s="109"/>
      <c r="AA20" s="108"/>
      <c r="AB20" s="108"/>
      <c r="AC20" s="111"/>
      <c r="AD20" s="112"/>
      <c r="AE20" s="112"/>
      <c r="AF20" s="113"/>
      <c r="AG20" s="114"/>
      <c r="AH20" s="114"/>
      <c r="AI20" s="114"/>
      <c r="AJ20" s="115"/>
      <c r="AK20" s="116"/>
      <c r="AL20" s="116"/>
      <c r="AM20" s="116"/>
      <c r="AN20" s="113"/>
      <c r="AO20" s="117"/>
      <c r="AP20" s="118"/>
      <c r="AQ20" s="119"/>
      <c r="AR20" s="117"/>
      <c r="AS20" s="122"/>
    </row>
    <row r="21" s="78" customFormat="1" ht="40.5" customHeight="1" spans="1:45">
      <c r="A21" s="68" t="s">
        <v>55</v>
      </c>
      <c r="B21" s="60" t="s">
        <v>47</v>
      </c>
      <c r="C21" s="79" t="s">
        <v>48</v>
      </c>
      <c r="D21" s="80">
        <v>46057</v>
      </c>
      <c r="E21" s="85" t="s">
        <v>1223</v>
      </c>
      <c r="F21" s="87" t="s">
        <v>50</v>
      </c>
      <c r="G21" s="68" t="s">
        <v>51</v>
      </c>
      <c r="H21" s="328" t="s">
        <v>57</v>
      </c>
      <c r="I21" s="89" t="s">
        <v>58</v>
      </c>
      <c r="J21" s="82" t="s">
        <v>54</v>
      </c>
      <c r="K21" s="90">
        <v>5</v>
      </c>
      <c r="L21" s="90">
        <v>105.6</v>
      </c>
      <c r="M21" s="65">
        <v>433117</v>
      </c>
      <c r="N21" s="93"/>
      <c r="O21" s="65"/>
      <c r="P21" s="82"/>
      <c r="Q21" s="90">
        <v>1</v>
      </c>
      <c r="R21" s="96"/>
      <c r="S21" s="97"/>
      <c r="T21" s="97"/>
      <c r="U21" s="100"/>
      <c r="V21" s="107"/>
      <c r="W21" s="105"/>
      <c r="X21" s="105"/>
      <c r="Y21" s="109"/>
      <c r="Z21" s="109"/>
      <c r="AA21" s="108"/>
      <c r="AB21" s="108"/>
      <c r="AC21" s="111"/>
      <c r="AD21" s="112"/>
      <c r="AE21" s="112"/>
      <c r="AF21" s="113"/>
      <c r="AG21" s="114"/>
      <c r="AH21" s="114"/>
      <c r="AI21" s="114"/>
      <c r="AJ21" s="115"/>
      <c r="AK21" s="116"/>
      <c r="AL21" s="116"/>
      <c r="AM21" s="116"/>
      <c r="AN21" s="113"/>
      <c r="AO21" s="117"/>
      <c r="AP21" s="118"/>
      <c r="AQ21" s="119"/>
      <c r="AR21" s="117"/>
      <c r="AS21" s="122"/>
    </row>
    <row r="22" s="78" customFormat="1" ht="40.5" customHeight="1" spans="1:45">
      <c r="A22" s="68" t="s">
        <v>59</v>
      </c>
      <c r="B22" s="60" t="s">
        <v>47</v>
      </c>
      <c r="C22" s="79" t="s">
        <v>48</v>
      </c>
      <c r="D22" s="80">
        <v>46057</v>
      </c>
      <c r="E22" s="68" t="s">
        <v>1224</v>
      </c>
      <c r="F22" s="68" t="s">
        <v>50</v>
      </c>
      <c r="G22" s="68" t="s">
        <v>62</v>
      </c>
      <c r="H22" s="69" t="s">
        <v>63</v>
      </c>
      <c r="I22" s="89" t="s">
        <v>64</v>
      </c>
      <c r="J22" s="82" t="s">
        <v>65</v>
      </c>
      <c r="K22" s="90">
        <v>1</v>
      </c>
      <c r="L22" s="90">
        <v>186</v>
      </c>
      <c r="M22" s="65">
        <v>98379</v>
      </c>
      <c r="N22" s="93"/>
      <c r="O22" s="65"/>
      <c r="P22" s="82"/>
      <c r="Q22" s="90">
        <v>1</v>
      </c>
      <c r="R22" s="96"/>
      <c r="S22" s="97"/>
      <c r="T22" s="97"/>
      <c r="U22" s="100" t="s">
        <v>66</v>
      </c>
      <c r="V22" s="107" t="s">
        <v>67</v>
      </c>
      <c r="W22" s="105" t="s">
        <v>68</v>
      </c>
      <c r="X22" s="105" t="s">
        <v>69</v>
      </c>
      <c r="Y22" s="109"/>
      <c r="Z22" s="109"/>
      <c r="AA22" s="108"/>
      <c r="AB22" s="108"/>
      <c r="AC22" s="111"/>
      <c r="AD22" s="112"/>
      <c r="AE22" s="112"/>
      <c r="AF22" s="113"/>
      <c r="AG22" s="114"/>
      <c r="AH22" s="114"/>
      <c r="AI22" s="114"/>
      <c r="AJ22" s="115"/>
      <c r="AK22" s="116"/>
      <c r="AL22" s="116"/>
      <c r="AM22" s="116"/>
      <c r="AN22" s="113"/>
      <c r="AO22" s="117">
        <v>50000</v>
      </c>
      <c r="AP22" s="118">
        <v>46094</v>
      </c>
      <c r="AQ22" s="119"/>
      <c r="AR22" s="117"/>
      <c r="AS22" s="122"/>
    </row>
    <row r="23" s="78" customFormat="1" ht="40.5" customHeight="1" spans="1:45">
      <c r="A23" s="68" t="s">
        <v>70</v>
      </c>
      <c r="B23" s="60" t="s">
        <v>47</v>
      </c>
      <c r="C23" s="79" t="s">
        <v>48</v>
      </c>
      <c r="D23" s="81">
        <v>46114</v>
      </c>
      <c r="E23" s="68" t="s">
        <v>1225</v>
      </c>
      <c r="F23" s="68" t="s">
        <v>50</v>
      </c>
      <c r="G23" s="68" t="s">
        <v>62</v>
      </c>
      <c r="H23" s="73">
        <v>768261890</v>
      </c>
      <c r="I23" s="89" t="s">
        <v>64</v>
      </c>
      <c r="J23" s="82" t="s">
        <v>72</v>
      </c>
      <c r="K23" s="90">
        <v>1</v>
      </c>
      <c r="L23" s="90">
        <v>186</v>
      </c>
      <c r="M23" s="65">
        <v>97342</v>
      </c>
      <c r="N23" s="93"/>
      <c r="O23" s="65"/>
      <c r="P23" s="82"/>
      <c r="Q23" s="90">
        <v>1</v>
      </c>
      <c r="R23" s="96"/>
      <c r="S23" s="97"/>
      <c r="T23" s="97"/>
      <c r="U23" s="100" t="s">
        <v>66</v>
      </c>
      <c r="V23" s="107" t="s">
        <v>67</v>
      </c>
      <c r="W23" s="105" t="s">
        <v>68</v>
      </c>
      <c r="X23" s="105" t="s">
        <v>73</v>
      </c>
      <c r="Y23" s="109"/>
      <c r="Z23" s="109"/>
      <c r="AA23" s="108"/>
      <c r="AB23" s="108"/>
      <c r="AC23" s="111"/>
      <c r="AD23" s="112"/>
      <c r="AE23" s="112"/>
      <c r="AF23" s="113"/>
      <c r="AG23" s="114"/>
      <c r="AH23" s="114"/>
      <c r="AI23" s="114"/>
      <c r="AJ23" s="115"/>
      <c r="AK23" s="116"/>
      <c r="AL23" s="116"/>
      <c r="AM23" s="116"/>
      <c r="AN23" s="113"/>
      <c r="AO23" s="117">
        <v>50000</v>
      </c>
      <c r="AP23" s="118">
        <v>46094</v>
      </c>
      <c r="AQ23" s="119"/>
      <c r="AR23" s="117"/>
      <c r="AS23" s="122"/>
    </row>
    <row r="24" s="78" customFormat="1" ht="40.5" customHeight="1" spans="1:45">
      <c r="A24" s="68" t="s">
        <v>74</v>
      </c>
      <c r="B24" s="60" t="s">
        <v>60</v>
      </c>
      <c r="C24" s="79" t="s">
        <v>48</v>
      </c>
      <c r="D24" s="80">
        <v>46057</v>
      </c>
      <c r="E24" s="68" t="s">
        <v>1226</v>
      </c>
      <c r="F24" s="68" t="s">
        <v>50</v>
      </c>
      <c r="G24" s="68" t="s">
        <v>76</v>
      </c>
      <c r="H24" s="74">
        <v>769838264</v>
      </c>
      <c r="I24" s="89" t="s">
        <v>77</v>
      </c>
      <c r="J24" s="82" t="s">
        <v>78</v>
      </c>
      <c r="K24" s="90">
        <v>1</v>
      </c>
      <c r="L24" s="90">
        <v>229</v>
      </c>
      <c r="M24" s="75">
        <v>113479</v>
      </c>
      <c r="N24" s="94"/>
      <c r="O24" s="65"/>
      <c r="P24" s="82"/>
      <c r="Q24" s="90">
        <v>1</v>
      </c>
      <c r="R24" s="96"/>
      <c r="S24" s="97"/>
      <c r="T24" s="97"/>
      <c r="U24" s="100" t="s">
        <v>66</v>
      </c>
      <c r="V24" s="107" t="s">
        <v>79</v>
      </c>
      <c r="W24" s="105" t="s">
        <v>80</v>
      </c>
      <c r="X24" s="105" t="s">
        <v>81</v>
      </c>
      <c r="Y24" s="109"/>
      <c r="Z24" s="109"/>
      <c r="AA24" s="108"/>
      <c r="AB24" s="108"/>
      <c r="AC24" s="111"/>
      <c r="AD24" s="112"/>
      <c r="AE24" s="112"/>
      <c r="AF24" s="113"/>
      <c r="AG24" s="114"/>
      <c r="AH24" s="114"/>
      <c r="AI24" s="114"/>
      <c r="AJ24" s="115"/>
      <c r="AK24" s="116"/>
      <c r="AL24" s="116"/>
      <c r="AM24" s="116"/>
      <c r="AN24" s="113"/>
      <c r="AO24" s="117">
        <v>60000</v>
      </c>
      <c r="AP24" s="118">
        <v>46095</v>
      </c>
      <c r="AQ24" s="119">
        <v>-53479</v>
      </c>
      <c r="AR24" s="117"/>
      <c r="AS24" s="122" t="s">
        <v>82</v>
      </c>
    </row>
    <row r="25" s="78" customFormat="1" ht="40.5" customHeight="1" spans="1:45">
      <c r="A25" s="68" t="s">
        <v>93</v>
      </c>
      <c r="B25" s="60" t="s">
        <v>47</v>
      </c>
      <c r="C25" s="79" t="s">
        <v>48</v>
      </c>
      <c r="D25" s="80">
        <v>46057</v>
      </c>
      <c r="E25" s="68" t="s">
        <v>1227</v>
      </c>
      <c r="F25" s="68" t="s">
        <v>50</v>
      </c>
      <c r="G25" s="68" t="s">
        <v>95</v>
      </c>
      <c r="H25" s="74">
        <v>777550478</v>
      </c>
      <c r="I25" s="89" t="s">
        <v>96</v>
      </c>
      <c r="J25" s="82" t="s">
        <v>97</v>
      </c>
      <c r="K25" s="90">
        <v>1</v>
      </c>
      <c r="L25" s="90">
        <v>173.2</v>
      </c>
      <c r="M25" s="76">
        <v>101755</v>
      </c>
      <c r="N25" s="95"/>
      <c r="O25" s="65"/>
      <c r="P25" s="82"/>
      <c r="Q25" s="90">
        <v>1</v>
      </c>
      <c r="R25" s="96"/>
      <c r="S25" s="97"/>
      <c r="T25" s="97"/>
      <c r="U25" s="100" t="s">
        <v>66</v>
      </c>
      <c r="V25" s="107" t="s">
        <v>98</v>
      </c>
      <c r="W25" s="105" t="s">
        <v>99</v>
      </c>
      <c r="X25" s="105" t="s">
        <v>100</v>
      </c>
      <c r="Y25" s="109"/>
      <c r="Z25" s="109"/>
      <c r="AA25" s="108"/>
      <c r="AB25" s="108"/>
      <c r="AC25" s="111"/>
      <c r="AD25" s="112"/>
      <c r="AE25" s="112"/>
      <c r="AF25" s="113"/>
      <c r="AG25" s="114"/>
      <c r="AH25" s="114"/>
      <c r="AI25" s="114"/>
      <c r="AJ25" s="115"/>
      <c r="AK25" s="116"/>
      <c r="AL25" s="116"/>
      <c r="AM25" s="116"/>
      <c r="AN25" s="113"/>
      <c r="AO25" s="117">
        <v>50000</v>
      </c>
      <c r="AP25" s="118">
        <v>46091</v>
      </c>
      <c r="AQ25" s="119">
        <v>-51755</v>
      </c>
      <c r="AR25" s="117"/>
      <c r="AS25" s="122"/>
    </row>
    <row r="26" s="78" customFormat="1" ht="107" customHeight="1" spans="1:45">
      <c r="A26" s="68" t="s">
        <v>207</v>
      </c>
      <c r="B26" s="60" t="s">
        <v>60</v>
      </c>
      <c r="C26" s="79" t="s">
        <v>48</v>
      </c>
      <c r="D26" s="80">
        <v>46269</v>
      </c>
      <c r="E26" s="68" t="s">
        <v>208</v>
      </c>
      <c r="F26" s="68" t="s">
        <v>50</v>
      </c>
      <c r="G26" s="88" t="s">
        <v>209</v>
      </c>
      <c r="H26" s="70" t="s">
        <v>210</v>
      </c>
      <c r="I26" s="89" t="s">
        <v>211</v>
      </c>
      <c r="J26" s="82" t="s">
        <v>212</v>
      </c>
      <c r="K26" s="90">
        <v>16</v>
      </c>
      <c r="L26" s="90">
        <v>358.7</v>
      </c>
      <c r="M26" s="65">
        <v>2975765</v>
      </c>
      <c r="N26" s="93"/>
      <c r="O26" s="65"/>
      <c r="P26" s="82"/>
      <c r="Q26" s="90">
        <v>1</v>
      </c>
      <c r="R26" s="96"/>
      <c r="S26" s="97"/>
      <c r="T26" s="97"/>
      <c r="U26" s="100" t="s">
        <v>213</v>
      </c>
      <c r="V26" s="100" t="s">
        <v>214</v>
      </c>
      <c r="W26" s="101">
        <v>0.1875</v>
      </c>
      <c r="X26" s="101">
        <v>0.979166666666667</v>
      </c>
      <c r="Y26" s="108"/>
      <c r="Z26" s="108"/>
      <c r="AA26" s="108"/>
      <c r="AB26" s="108"/>
      <c r="AC26" s="111"/>
      <c r="AD26" s="112"/>
      <c r="AE26" s="112"/>
      <c r="AF26" s="113"/>
      <c r="AG26" s="114"/>
      <c r="AH26" s="114"/>
      <c r="AI26" s="114"/>
      <c r="AJ26" s="115"/>
      <c r="AK26" s="116"/>
      <c r="AL26" s="116"/>
      <c r="AM26" s="116"/>
      <c r="AN26" s="113"/>
      <c r="AO26" s="117">
        <v>0</v>
      </c>
      <c r="AP26" s="118"/>
      <c r="AQ26" s="119">
        <v>-2975765</v>
      </c>
      <c r="AR26" s="117"/>
      <c r="AS26" s="122"/>
    </row>
  </sheetData>
  <conditionalFormatting sqref="B3">
    <cfRule type="containsText" dxfId="0" priority="1" operator="between" text="canceled">
      <formula>NOT(ISERROR(SEARCH("canceled",B3)))</formula>
    </cfRule>
    <cfRule type="containsText" dxfId="1" priority="2" operator="between" text="confirmed">
      <formula>NOT(ISERROR(SEARCH("confirmed",B3)))</formula>
    </cfRule>
    <cfRule type="containsText" dxfId="2" priority="3" operator="between" text="postponed">
      <formula>NOT(ISERROR(SEARCH("postponed",B3)))</formula>
    </cfRule>
    <cfRule type="containsText" dxfId="3" priority="4" operator="between" text="completed">
      <formula>NOT(ISERROR(SEARCH("completed",B3)))</formula>
    </cfRule>
  </conditionalFormatting>
  <conditionalFormatting sqref="B11">
    <cfRule type="containsText" dxfId="0" priority="5" operator="between" text="canceled">
      <formula>NOT(ISERROR(SEARCH("canceled",B11)))</formula>
    </cfRule>
    <cfRule type="containsText" dxfId="1" priority="6" operator="between" text="confirmed">
      <formula>NOT(ISERROR(SEARCH("confirmed",B11)))</formula>
    </cfRule>
    <cfRule type="containsText" dxfId="2" priority="7" operator="between" text="postponed">
      <formula>NOT(ISERROR(SEARCH("postponed",B11)))</formula>
    </cfRule>
    <cfRule type="containsText" dxfId="3" priority="8" operator="between" text="completed">
      <formula>NOT(ISERROR(SEARCH("completed",B11)))</formula>
    </cfRule>
  </conditionalFormatting>
  <conditionalFormatting sqref="B2 B18:B26 E18:H18 B12:B16 B4:B10">
    <cfRule type="containsText" dxfId="0" priority="13" operator="between" text="canceled">
      <formula>NOT(ISERROR(SEARCH("canceled",B2)))</formula>
    </cfRule>
    <cfRule type="containsText" dxfId="1" priority="14" operator="between" text="confirmed">
      <formula>NOT(ISERROR(SEARCH("confirmed",B2)))</formula>
    </cfRule>
    <cfRule type="containsText" dxfId="2" priority="15" operator="between" text="postponed">
      <formula>NOT(ISERROR(SEARCH("postponed",B2)))</formula>
    </cfRule>
    <cfRule type="containsText" dxfId="3" priority="16" operator="between" text="completed">
      <formula>NOT(ISERROR(SEARCH("completed",B2)))</formula>
    </cfRule>
  </conditionalFormatting>
  <conditionalFormatting sqref="B17 E17:H17">
    <cfRule type="containsText" dxfId="0" priority="9" operator="between" text="canceled">
      <formula>NOT(ISERROR(SEARCH("canceled",B17)))</formula>
    </cfRule>
    <cfRule type="containsText" dxfId="1" priority="10" operator="between" text="confirmed">
      <formula>NOT(ISERROR(SEARCH("confirmed",B17)))</formula>
    </cfRule>
    <cfRule type="containsText" dxfId="2" priority="11" operator="between" text="postponed">
      <formula>NOT(ISERROR(SEARCH("postponed",B17)))</formula>
    </cfRule>
    <cfRule type="containsText" dxfId="3" priority="12" operator="between" text="completed">
      <formula>NOT(ISERROR(SEARCH("completed",B17)))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K8" sqref="K8"/>
    </sheetView>
  </sheetViews>
  <sheetFormatPr defaultColWidth="9" defaultRowHeight="16.8" outlineLevelCol="7"/>
  <cols>
    <col min="1" max="1" width="13.671875" customWidth="1"/>
    <col min="2" max="2" width="18.484375" style="47" customWidth="1"/>
    <col min="3" max="3" width="8.203125" style="48" customWidth="1"/>
    <col min="4" max="4" width="22.65625" style="47" customWidth="1"/>
    <col min="5" max="5" width="21.3515625" style="47" customWidth="1"/>
    <col min="6" max="6" width="17.3125" style="47" customWidth="1"/>
    <col min="7" max="7" width="16.7890625" style="47" customWidth="1"/>
    <col min="8" max="8" width="26.046875" customWidth="1"/>
  </cols>
  <sheetData>
    <row r="1" ht="34" spans="1:8">
      <c r="A1" s="49" t="s">
        <v>2</v>
      </c>
      <c r="B1" s="50" t="s">
        <v>4</v>
      </c>
      <c r="C1" s="49" t="s">
        <v>3</v>
      </c>
      <c r="D1" s="51" t="s">
        <v>5</v>
      </c>
      <c r="E1" s="49" t="s">
        <v>8</v>
      </c>
      <c r="F1" s="61" t="s">
        <v>9</v>
      </c>
      <c r="G1" s="62" t="s">
        <v>14</v>
      </c>
      <c r="H1" s="63" t="s">
        <v>1241</v>
      </c>
    </row>
    <row r="2" ht="17" spans="1:8">
      <c r="A2" s="52" t="s">
        <v>60</v>
      </c>
      <c r="B2" s="53">
        <v>46206</v>
      </c>
      <c r="C2" s="5" t="s">
        <v>599</v>
      </c>
      <c r="D2" s="54" t="s">
        <v>266</v>
      </c>
      <c r="E2" s="3" t="s">
        <v>1242</v>
      </c>
      <c r="F2" s="64" t="s">
        <v>756</v>
      </c>
      <c r="G2" s="65">
        <v>389837</v>
      </c>
      <c r="H2" s="66" t="s">
        <v>1243</v>
      </c>
    </row>
    <row r="3" ht="30" customHeight="1" spans="1:8">
      <c r="A3" s="55" t="s">
        <v>60</v>
      </c>
      <c r="B3" s="56">
        <v>46095</v>
      </c>
      <c r="C3" s="5" t="s">
        <v>599</v>
      </c>
      <c r="D3" s="54" t="s">
        <v>266</v>
      </c>
      <c r="E3" s="3" t="s">
        <v>1244</v>
      </c>
      <c r="F3" s="327" t="s">
        <v>1245</v>
      </c>
      <c r="G3" s="65">
        <v>184267</v>
      </c>
      <c r="H3" s="66" t="s">
        <v>1246</v>
      </c>
    </row>
    <row r="4" ht="34" spans="1:8">
      <c r="A4" s="52" t="s">
        <v>970</v>
      </c>
      <c r="B4" s="57" t="s">
        <v>968</v>
      </c>
      <c r="C4" s="5" t="s">
        <v>599</v>
      </c>
      <c r="D4" s="54" t="s">
        <v>971</v>
      </c>
      <c r="E4" s="3" t="s">
        <v>972</v>
      </c>
      <c r="F4" s="64" t="s">
        <v>52</v>
      </c>
      <c r="G4" s="65">
        <v>1052188</v>
      </c>
      <c r="H4" s="67" t="s">
        <v>1247</v>
      </c>
    </row>
    <row r="5" ht="34" spans="1:8">
      <c r="A5" s="52" t="s">
        <v>47</v>
      </c>
      <c r="B5" s="57" t="s">
        <v>968</v>
      </c>
      <c r="C5" s="5" t="s">
        <v>599</v>
      </c>
      <c r="D5" s="54" t="s">
        <v>979</v>
      </c>
      <c r="E5" s="3" t="s">
        <v>1248</v>
      </c>
      <c r="F5" s="68">
        <v>764310146</v>
      </c>
      <c r="G5" s="65">
        <v>812588</v>
      </c>
      <c r="H5" s="67" t="s">
        <v>1247</v>
      </c>
    </row>
    <row r="6" ht="34" spans="1:8">
      <c r="A6" s="55" t="s">
        <v>60</v>
      </c>
      <c r="B6" s="56" t="s">
        <v>1004</v>
      </c>
      <c r="C6" s="5" t="s">
        <v>599</v>
      </c>
      <c r="D6" s="54" t="s">
        <v>266</v>
      </c>
      <c r="E6" s="3" t="s">
        <v>1249</v>
      </c>
      <c r="F6" s="327" t="s">
        <v>1034</v>
      </c>
      <c r="G6" s="65">
        <v>198141</v>
      </c>
      <c r="H6" s="67" t="s">
        <v>1247</v>
      </c>
    </row>
    <row r="7" ht="34" spans="1:8">
      <c r="A7" s="55" t="s">
        <v>60</v>
      </c>
      <c r="B7" s="56">
        <v>46102</v>
      </c>
      <c r="C7" s="5" t="s">
        <v>599</v>
      </c>
      <c r="D7" s="54" t="s">
        <v>266</v>
      </c>
      <c r="E7" s="3" t="s">
        <v>1250</v>
      </c>
      <c r="F7" s="327" t="s">
        <v>1251</v>
      </c>
      <c r="G7" s="65">
        <v>263197</v>
      </c>
      <c r="H7" s="67" t="s">
        <v>1247</v>
      </c>
    </row>
    <row r="8" ht="34" spans="1:8">
      <c r="A8" s="55" t="s">
        <v>60</v>
      </c>
      <c r="B8" s="56">
        <v>46102</v>
      </c>
      <c r="C8" s="5" t="s">
        <v>599</v>
      </c>
      <c r="D8" s="54" t="s">
        <v>266</v>
      </c>
      <c r="E8" s="3" t="s">
        <v>1252</v>
      </c>
      <c r="F8" s="68" t="s">
        <v>1253</v>
      </c>
      <c r="G8" s="65">
        <v>240110</v>
      </c>
      <c r="H8" s="67" t="s">
        <v>1254</v>
      </c>
    </row>
    <row r="9" ht="34" spans="1:8">
      <c r="A9" s="55" t="s">
        <v>60</v>
      </c>
      <c r="B9" s="56" t="s">
        <v>1004</v>
      </c>
      <c r="C9" s="5" t="s">
        <v>599</v>
      </c>
      <c r="D9" s="54" t="s">
        <v>266</v>
      </c>
      <c r="E9" s="3" t="s">
        <v>1255</v>
      </c>
      <c r="F9" s="327" t="s">
        <v>1256</v>
      </c>
      <c r="G9" s="65">
        <v>180657</v>
      </c>
      <c r="H9" s="67" t="s">
        <v>1254</v>
      </c>
    </row>
    <row r="10" ht="17" spans="1:8">
      <c r="A10" s="55" t="s">
        <v>60</v>
      </c>
      <c r="B10" s="56">
        <v>46104</v>
      </c>
      <c r="C10" s="5" t="s">
        <v>599</v>
      </c>
      <c r="D10" s="54" t="s">
        <v>266</v>
      </c>
      <c r="E10" s="3" t="s">
        <v>1257</v>
      </c>
      <c r="F10" s="327" t="s">
        <v>1258</v>
      </c>
      <c r="G10" s="65">
        <v>329553</v>
      </c>
      <c r="H10" s="66" t="s">
        <v>1243</v>
      </c>
    </row>
    <row r="11" ht="34" spans="1:8">
      <c r="A11" s="52" t="s">
        <v>60</v>
      </c>
      <c r="B11" s="56">
        <v>46106</v>
      </c>
      <c r="C11" s="5" t="s">
        <v>599</v>
      </c>
      <c r="D11" s="54" t="s">
        <v>1065</v>
      </c>
      <c r="E11" s="3" t="s">
        <v>1259</v>
      </c>
      <c r="F11" s="329" t="s">
        <v>1260</v>
      </c>
      <c r="G11" s="65">
        <v>218097</v>
      </c>
      <c r="H11" s="67" t="s">
        <v>1261</v>
      </c>
    </row>
    <row r="12" ht="34" spans="1:8">
      <c r="A12" s="52" t="s">
        <v>47</v>
      </c>
      <c r="B12" s="56">
        <v>46108</v>
      </c>
      <c r="C12" s="5" t="s">
        <v>599</v>
      </c>
      <c r="D12" s="54" t="s">
        <v>1089</v>
      </c>
      <c r="E12" s="3" t="s">
        <v>1262</v>
      </c>
      <c r="F12" s="69">
        <v>763366761</v>
      </c>
      <c r="G12" s="65">
        <v>600000</v>
      </c>
      <c r="H12" s="67" t="s">
        <v>1247</v>
      </c>
    </row>
    <row r="13" ht="34" spans="1:8">
      <c r="A13" s="52" t="s">
        <v>60</v>
      </c>
      <c r="B13" s="57" t="s">
        <v>1094</v>
      </c>
      <c r="C13" s="5" t="s">
        <v>599</v>
      </c>
      <c r="D13" s="54" t="s">
        <v>1263</v>
      </c>
      <c r="E13" s="3" t="s">
        <v>972</v>
      </c>
      <c r="F13" s="70" t="s">
        <v>52</v>
      </c>
      <c r="G13" s="65">
        <v>1315628</v>
      </c>
      <c r="H13" s="67" t="s">
        <v>1254</v>
      </c>
    </row>
    <row r="14" ht="34" spans="1:8">
      <c r="A14" s="52" t="s">
        <v>60</v>
      </c>
      <c r="B14" s="57" t="s">
        <v>1094</v>
      </c>
      <c r="C14" s="5" t="s">
        <v>599</v>
      </c>
      <c r="D14" s="54" t="s">
        <v>1264</v>
      </c>
      <c r="E14" s="3" t="s">
        <v>972</v>
      </c>
      <c r="F14" s="64" t="s">
        <v>52</v>
      </c>
      <c r="G14" s="65">
        <v>938841</v>
      </c>
      <c r="H14" s="67" t="s">
        <v>1254</v>
      </c>
    </row>
    <row r="15" ht="34" spans="1:8">
      <c r="A15" s="52" t="s">
        <v>60</v>
      </c>
      <c r="B15" s="57" t="s">
        <v>1094</v>
      </c>
      <c r="C15" s="5" t="s">
        <v>599</v>
      </c>
      <c r="D15" s="54" t="s">
        <v>1264</v>
      </c>
      <c r="E15" s="3" t="s">
        <v>972</v>
      </c>
      <c r="F15" s="64" t="s">
        <v>52</v>
      </c>
      <c r="G15" s="65">
        <v>642667</v>
      </c>
      <c r="H15" s="67" t="s">
        <v>1254</v>
      </c>
    </row>
    <row r="16" ht="34" spans="1:8">
      <c r="A16" s="52" t="s">
        <v>60</v>
      </c>
      <c r="B16" s="57" t="s">
        <v>1094</v>
      </c>
      <c r="C16" s="5" t="s">
        <v>599</v>
      </c>
      <c r="D16" s="54" t="s">
        <v>1265</v>
      </c>
      <c r="E16" s="3" t="s">
        <v>1109</v>
      </c>
      <c r="F16" s="64" t="s">
        <v>1110</v>
      </c>
      <c r="G16" s="65">
        <v>1222641</v>
      </c>
      <c r="H16" s="67" t="s">
        <v>1254</v>
      </c>
    </row>
    <row r="17" ht="24" customHeight="1" spans="1:8">
      <c r="A17" s="55" t="s">
        <v>60</v>
      </c>
      <c r="B17" s="56">
        <v>46109</v>
      </c>
      <c r="C17" s="5" t="s">
        <v>599</v>
      </c>
      <c r="D17" s="54" t="s">
        <v>1149</v>
      </c>
      <c r="E17" s="3" t="s">
        <v>1150</v>
      </c>
      <c r="F17" s="327" t="s">
        <v>1266</v>
      </c>
      <c r="G17" s="65">
        <v>210226</v>
      </c>
      <c r="H17" s="71" t="s">
        <v>1267</v>
      </c>
    </row>
    <row r="18" ht="34" spans="1:8">
      <c r="A18" s="55" t="s">
        <v>47</v>
      </c>
      <c r="B18" s="56">
        <v>46109</v>
      </c>
      <c r="C18" s="5" t="s">
        <v>599</v>
      </c>
      <c r="D18" s="54" t="s">
        <v>266</v>
      </c>
      <c r="E18" s="3" t="s">
        <v>1152</v>
      </c>
      <c r="F18" s="326" t="s">
        <v>1268</v>
      </c>
      <c r="G18" s="65">
        <v>412962</v>
      </c>
      <c r="H18" s="67" t="s">
        <v>1269</v>
      </c>
    </row>
    <row r="19" ht="34" spans="1:8">
      <c r="A19" s="52" t="s">
        <v>47</v>
      </c>
      <c r="B19" s="58">
        <v>46112</v>
      </c>
      <c r="C19" s="5" t="s">
        <v>599</v>
      </c>
      <c r="D19" s="59" t="s">
        <v>1270</v>
      </c>
      <c r="E19" s="3" t="s">
        <v>1217</v>
      </c>
      <c r="F19" s="64">
        <v>777624984</v>
      </c>
      <c r="G19" s="65">
        <v>705472.183823529</v>
      </c>
      <c r="H19" s="67" t="s">
        <v>1247</v>
      </c>
    </row>
    <row r="20" ht="34" spans="1:8">
      <c r="A20" s="60" t="s">
        <v>47</v>
      </c>
      <c r="B20" s="53">
        <v>46057</v>
      </c>
      <c r="C20" s="5" t="s">
        <v>48</v>
      </c>
      <c r="D20" s="59" t="s">
        <v>49</v>
      </c>
      <c r="E20" s="3" t="s">
        <v>51</v>
      </c>
      <c r="F20" s="72" t="s">
        <v>52</v>
      </c>
      <c r="G20" s="65">
        <v>397629</v>
      </c>
      <c r="H20" s="67" t="s">
        <v>1247</v>
      </c>
    </row>
    <row r="21" ht="34" spans="1:8">
      <c r="A21" s="60" t="s">
        <v>47</v>
      </c>
      <c r="B21" s="53">
        <v>46057</v>
      </c>
      <c r="C21" s="5" t="s">
        <v>48</v>
      </c>
      <c r="D21" s="59" t="s">
        <v>56</v>
      </c>
      <c r="E21" s="3" t="s">
        <v>51</v>
      </c>
      <c r="F21" s="328" t="s">
        <v>57</v>
      </c>
      <c r="G21" s="65">
        <v>433117</v>
      </c>
      <c r="H21" s="67" t="s">
        <v>1247</v>
      </c>
    </row>
    <row r="22" ht="34" spans="1:8">
      <c r="A22" s="60" t="s">
        <v>47</v>
      </c>
      <c r="B22" s="53">
        <v>46057</v>
      </c>
      <c r="C22" s="5" t="s">
        <v>48</v>
      </c>
      <c r="D22" s="54" t="s">
        <v>61</v>
      </c>
      <c r="E22" s="3" t="s">
        <v>62</v>
      </c>
      <c r="F22" s="69" t="s">
        <v>63</v>
      </c>
      <c r="G22" s="65">
        <v>98379</v>
      </c>
      <c r="H22" s="67" t="s">
        <v>1247</v>
      </c>
    </row>
    <row r="23" ht="34" spans="1:8">
      <c r="A23" s="60" t="s">
        <v>47</v>
      </c>
      <c r="B23" s="56">
        <v>46114</v>
      </c>
      <c r="C23" s="5" t="s">
        <v>48</v>
      </c>
      <c r="D23" s="54" t="s">
        <v>71</v>
      </c>
      <c r="E23" s="3" t="s">
        <v>62</v>
      </c>
      <c r="F23" s="73">
        <v>768261890</v>
      </c>
      <c r="G23" s="65">
        <v>97342</v>
      </c>
      <c r="H23" s="67" t="s">
        <v>1247</v>
      </c>
    </row>
    <row r="24" ht="34" spans="1:8">
      <c r="A24" s="60" t="s">
        <v>60</v>
      </c>
      <c r="B24" s="53">
        <v>46057</v>
      </c>
      <c r="C24" s="5" t="s">
        <v>48</v>
      </c>
      <c r="D24" s="54" t="s">
        <v>75</v>
      </c>
      <c r="E24" s="3" t="s">
        <v>76</v>
      </c>
      <c r="F24" s="74">
        <v>769838264</v>
      </c>
      <c r="G24" s="75">
        <v>113479</v>
      </c>
      <c r="H24" s="67" t="s">
        <v>1247</v>
      </c>
    </row>
    <row r="25" ht="34" spans="1:8">
      <c r="A25" s="60" t="s">
        <v>47</v>
      </c>
      <c r="B25" s="53">
        <v>46057</v>
      </c>
      <c r="C25" s="5" t="s">
        <v>48</v>
      </c>
      <c r="D25" s="54" t="s">
        <v>94</v>
      </c>
      <c r="E25" s="3" t="s">
        <v>95</v>
      </c>
      <c r="F25" s="74">
        <v>777550478</v>
      </c>
      <c r="G25" s="76">
        <v>101755</v>
      </c>
      <c r="H25" s="67" t="s">
        <v>1247</v>
      </c>
    </row>
    <row r="26" ht="34" spans="1:8">
      <c r="A26" s="60" t="s">
        <v>60</v>
      </c>
      <c r="B26" s="53">
        <v>46269</v>
      </c>
      <c r="C26" s="5" t="s">
        <v>48</v>
      </c>
      <c r="D26" s="54" t="s">
        <v>1271</v>
      </c>
      <c r="E26" s="77" t="s">
        <v>209</v>
      </c>
      <c r="F26" s="70" t="s">
        <v>210</v>
      </c>
      <c r="G26" s="65">
        <v>2975765</v>
      </c>
      <c r="H26" s="67" t="s">
        <v>1247</v>
      </c>
    </row>
  </sheetData>
  <conditionalFormatting sqref="A3">
    <cfRule type="containsText" dxfId="0" priority="33" operator="between" text="canceled">
      <formula>NOT(ISERROR(SEARCH("canceled",A3)))</formula>
    </cfRule>
    <cfRule type="containsText" dxfId="1" priority="34" operator="between" text="confirmed">
      <formula>NOT(ISERROR(SEARCH("confirmed",A3)))</formula>
    </cfRule>
    <cfRule type="containsText" dxfId="2" priority="35" operator="between" text="postponed">
      <formula>NOT(ISERROR(SEARCH("postponed",A3)))</formula>
    </cfRule>
    <cfRule type="containsText" dxfId="3" priority="36" operator="between" text="completed">
      <formula>NOT(ISERROR(SEARCH("completed",A3)))</formula>
    </cfRule>
  </conditionalFormatting>
  <conditionalFormatting sqref="A11">
    <cfRule type="containsText" dxfId="0" priority="37" operator="between" text="canceled">
      <formula>NOT(ISERROR(SEARCH("canceled",A11)))</formula>
    </cfRule>
    <cfRule type="containsText" dxfId="1" priority="38" operator="between" text="confirmed">
      <formula>NOT(ISERROR(SEARCH("confirmed",A11)))</formula>
    </cfRule>
    <cfRule type="containsText" dxfId="2" priority="39" operator="between" text="postponed">
      <formula>NOT(ISERROR(SEARCH("postponed",A11)))</formula>
    </cfRule>
    <cfRule type="containsText" dxfId="3" priority="40" operator="between" text="completed">
      <formula>NOT(ISERROR(SEARCH("completed",A11)))</formula>
    </cfRule>
  </conditionalFormatting>
  <conditionalFormatting sqref="A17">
    <cfRule type="containsText" dxfId="0" priority="41" operator="between" text="canceled">
      <formula>NOT(ISERROR(SEARCH("canceled",A17)))</formula>
    </cfRule>
    <cfRule type="containsText" dxfId="1" priority="42" operator="between" text="confirmed">
      <formula>NOT(ISERROR(SEARCH("confirmed",A17)))</formula>
    </cfRule>
    <cfRule type="containsText" dxfId="2" priority="43" operator="between" text="postponed">
      <formula>NOT(ISERROR(SEARCH("postponed",A17)))</formula>
    </cfRule>
    <cfRule type="containsText" dxfId="3" priority="44" operator="between" text="completed">
      <formula>NOT(ISERROR(SEARCH("completed",A17)))</formula>
    </cfRule>
  </conditionalFormatting>
  <conditionalFormatting sqref="D17">
    <cfRule type="containsText" dxfId="3" priority="4" operator="between" text="completed">
      <formula>NOT(ISERROR(SEARCH("completed",D17)))</formula>
    </cfRule>
    <cfRule type="containsText" dxfId="2" priority="3" operator="between" text="postponed">
      <formula>NOT(ISERROR(SEARCH("postponed",D17)))</formula>
    </cfRule>
    <cfRule type="containsText" dxfId="1" priority="2" operator="between" text="confirmed">
      <formula>NOT(ISERROR(SEARCH("confirmed",D17)))</formula>
    </cfRule>
    <cfRule type="containsText" dxfId="0" priority="1" operator="between" text="canceled">
      <formula>NOT(ISERROR(SEARCH("canceled",D17)))</formula>
    </cfRule>
  </conditionalFormatting>
  <conditionalFormatting sqref="E17">
    <cfRule type="containsText" dxfId="0" priority="25" operator="between" text="canceled">
      <formula>NOT(ISERROR(SEARCH("canceled",E17)))</formula>
    </cfRule>
    <cfRule type="containsText" dxfId="1" priority="26" operator="between" text="confirmed">
      <formula>NOT(ISERROR(SEARCH("confirmed",E17)))</formula>
    </cfRule>
    <cfRule type="containsText" dxfId="2" priority="27" operator="between" text="postponed">
      <formula>NOT(ISERROR(SEARCH("postponed",E17)))</formula>
    </cfRule>
    <cfRule type="containsText" dxfId="3" priority="28" operator="between" text="completed">
      <formula>NOT(ISERROR(SEARCH("completed",E17)))</formula>
    </cfRule>
  </conditionalFormatting>
  <conditionalFormatting sqref="F17">
    <cfRule type="containsText" dxfId="0" priority="9" operator="between" text="canceled">
      <formula>NOT(ISERROR(SEARCH("canceled",F17)))</formula>
    </cfRule>
    <cfRule type="containsText" dxfId="1" priority="10" operator="between" text="confirmed">
      <formula>NOT(ISERROR(SEARCH("confirmed",F17)))</formula>
    </cfRule>
    <cfRule type="containsText" dxfId="2" priority="11" operator="between" text="postponed">
      <formula>NOT(ISERROR(SEARCH("postponed",F17)))</formula>
    </cfRule>
    <cfRule type="containsText" dxfId="3" priority="12" operator="between" text="completed">
      <formula>NOT(ISERROR(SEARCH("completed",F17)))</formula>
    </cfRule>
  </conditionalFormatting>
  <conditionalFormatting sqref="D18">
    <cfRule type="containsText" dxfId="3" priority="8" operator="between" text="completed">
      <formula>NOT(ISERROR(SEARCH("completed",D18)))</formula>
    </cfRule>
    <cfRule type="containsText" dxfId="2" priority="7" operator="between" text="postponed">
      <formula>NOT(ISERROR(SEARCH("postponed",D18)))</formula>
    </cfRule>
    <cfRule type="containsText" dxfId="1" priority="6" operator="between" text="confirmed">
      <formula>NOT(ISERROR(SEARCH("confirmed",D18)))</formula>
    </cfRule>
    <cfRule type="containsText" dxfId="0" priority="5" operator="between" text="canceled">
      <formula>NOT(ISERROR(SEARCH("canceled",D18)))</formula>
    </cfRule>
  </conditionalFormatting>
  <conditionalFormatting sqref="E18">
    <cfRule type="containsText" dxfId="0" priority="29" operator="between" text="canceled">
      <formula>NOT(ISERROR(SEARCH("canceled",E18)))</formula>
    </cfRule>
    <cfRule type="containsText" dxfId="1" priority="30" operator="between" text="confirmed">
      <formula>NOT(ISERROR(SEARCH("confirmed",E18)))</formula>
    </cfRule>
    <cfRule type="containsText" dxfId="2" priority="31" operator="between" text="postponed">
      <formula>NOT(ISERROR(SEARCH("postponed",E18)))</formula>
    </cfRule>
    <cfRule type="containsText" dxfId="3" priority="32" operator="between" text="completed">
      <formula>NOT(ISERROR(SEARCH("completed",E18)))</formula>
    </cfRule>
  </conditionalFormatting>
  <conditionalFormatting sqref="F18">
    <cfRule type="containsText" dxfId="0" priority="13" operator="between" text="canceled">
      <formula>NOT(ISERROR(SEARCH("canceled",F18)))</formula>
    </cfRule>
    <cfRule type="containsText" dxfId="1" priority="14" operator="between" text="confirmed">
      <formula>NOT(ISERROR(SEARCH("confirmed",F18)))</formula>
    </cfRule>
    <cfRule type="containsText" dxfId="2" priority="15" operator="between" text="postponed">
      <formula>NOT(ISERROR(SEARCH("postponed",F18)))</formula>
    </cfRule>
    <cfRule type="containsText" dxfId="3" priority="16" operator="between" text="completed">
      <formula>NOT(ISERROR(SEARCH("completed",F18)))</formula>
    </cfRule>
  </conditionalFormatting>
  <conditionalFormatting sqref="A2 A18:A26 A12:A16 A4:A10">
    <cfRule type="containsText" dxfId="0" priority="45" operator="between" text="canceled">
      <formula>NOT(ISERROR(SEARCH("canceled",A2)))</formula>
    </cfRule>
    <cfRule type="containsText" dxfId="1" priority="46" operator="between" text="confirmed">
      <formula>NOT(ISERROR(SEARCH("confirmed",A2)))</formula>
    </cfRule>
    <cfRule type="containsText" dxfId="2" priority="47" operator="between" text="postponed">
      <formula>NOT(ISERROR(SEARCH("postponed",A2)))</formula>
    </cfRule>
    <cfRule type="containsText" dxfId="3" priority="48" operator="between" text="completed">
      <formula>NOT(ISERROR(SEARCH("completed",A2)))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4"/>
  <sheetViews>
    <sheetView workbookViewId="0">
      <selection activeCell="A8" sqref="A8:J14"/>
    </sheetView>
  </sheetViews>
  <sheetFormatPr defaultColWidth="9" defaultRowHeight="16.8"/>
  <cols>
    <col min="1" max="1" width="19.2734375" customWidth="1"/>
    <col min="2" max="2" width="10.546875" customWidth="1"/>
    <col min="3" max="3" width="17.703125" customWidth="1"/>
    <col min="4" max="4" width="16.015625" customWidth="1"/>
    <col min="5" max="5" width="25.3828125" customWidth="1"/>
    <col min="7" max="7" width="12.6328125" customWidth="1"/>
    <col min="8" max="8" width="15.6171875" customWidth="1"/>
    <col min="9" max="9" width="22" customWidth="1"/>
    <col min="10" max="10" width="16.921875" customWidth="1"/>
    <col min="13" max="13" width="13.15625" customWidth="1"/>
    <col min="41" max="41" width="10.5625"/>
    <col min="43" max="43" width="10.5625"/>
  </cols>
  <sheetData>
    <row r="1" ht="84" spans="1:45">
      <c r="A1" s="1" t="s">
        <v>1</v>
      </c>
      <c r="B1" s="1" t="s">
        <v>2</v>
      </c>
      <c r="C1" s="1" t="s">
        <v>3</v>
      </c>
      <c r="D1" s="2" t="s">
        <v>4</v>
      </c>
      <c r="E1" s="7" t="s">
        <v>5</v>
      </c>
      <c r="F1" s="7" t="s">
        <v>7</v>
      </c>
      <c r="G1" s="1" t="s">
        <v>8</v>
      </c>
      <c r="H1" s="2" t="s">
        <v>9</v>
      </c>
      <c r="I1" s="1" t="s">
        <v>10</v>
      </c>
      <c r="J1" s="1" t="s">
        <v>11</v>
      </c>
      <c r="K1" s="1" t="s">
        <v>12</v>
      </c>
      <c r="L1" s="2" t="s">
        <v>13</v>
      </c>
      <c r="M1" s="1" t="s">
        <v>14</v>
      </c>
      <c r="N1" s="15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2" t="s">
        <v>20</v>
      </c>
      <c r="T1" s="2" t="s">
        <v>21</v>
      </c>
      <c r="U1" s="1" t="s">
        <v>22</v>
      </c>
      <c r="V1" s="1" t="s">
        <v>23</v>
      </c>
      <c r="W1" s="1" t="s">
        <v>24</v>
      </c>
      <c r="X1" s="23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35" t="s">
        <v>38</v>
      </c>
      <c r="AL1" s="35" t="s">
        <v>39</v>
      </c>
      <c r="AM1" s="35" t="s">
        <v>40</v>
      </c>
      <c r="AN1" s="35" t="s">
        <v>41</v>
      </c>
      <c r="AO1" s="29" t="s">
        <v>42</v>
      </c>
      <c r="AP1" s="1" t="s">
        <v>43</v>
      </c>
      <c r="AQ1" s="29" t="s">
        <v>44</v>
      </c>
      <c r="AR1" s="1" t="s">
        <v>4</v>
      </c>
      <c r="AS1" s="7" t="s">
        <v>45</v>
      </c>
    </row>
    <row r="2" customFormat="1" ht="54" customHeight="1" spans="1:45">
      <c r="A2" s="3" t="s">
        <v>1228</v>
      </c>
      <c r="B2" s="4" t="s">
        <v>389</v>
      </c>
      <c r="C2" s="5" t="s">
        <v>48</v>
      </c>
      <c r="D2" s="6" t="s">
        <v>163</v>
      </c>
      <c r="E2" s="3" t="s">
        <v>164</v>
      </c>
      <c r="F2" s="3" t="s">
        <v>50</v>
      </c>
      <c r="G2" s="3" t="s">
        <v>165</v>
      </c>
      <c r="H2" s="318" t="s">
        <v>166</v>
      </c>
      <c r="I2" s="9" t="s">
        <v>167</v>
      </c>
      <c r="J2" s="10" t="s">
        <v>168</v>
      </c>
      <c r="K2" s="11">
        <v>2</v>
      </c>
      <c r="L2" s="11">
        <v>390</v>
      </c>
      <c r="M2" s="16">
        <v>439621</v>
      </c>
      <c r="N2" s="17"/>
      <c r="O2" s="18"/>
      <c r="P2" s="10"/>
      <c r="Q2" s="21">
        <v>1</v>
      </c>
      <c r="R2" s="12" t="s">
        <v>169</v>
      </c>
      <c r="S2" s="13" t="s">
        <v>1272</v>
      </c>
      <c r="T2" s="22" t="s">
        <v>1273</v>
      </c>
      <c r="U2" s="14" t="s">
        <v>172</v>
      </c>
      <c r="V2" s="24" t="s">
        <v>173</v>
      </c>
      <c r="W2" s="25" t="s">
        <v>174</v>
      </c>
      <c r="X2" s="25" t="s">
        <v>68</v>
      </c>
      <c r="Y2" s="27"/>
      <c r="Z2" s="27"/>
      <c r="AA2" s="28"/>
      <c r="AB2" s="28"/>
      <c r="AC2" s="30"/>
      <c r="AD2" s="31"/>
      <c r="AE2" s="31"/>
      <c r="AF2" s="32"/>
      <c r="AG2" s="33"/>
      <c r="AH2" s="33"/>
      <c r="AI2" s="33"/>
      <c r="AJ2" s="34"/>
      <c r="AK2" s="36"/>
      <c r="AL2" s="36"/>
      <c r="AM2" s="36"/>
      <c r="AN2" s="32"/>
      <c r="AO2" s="37">
        <v>500000</v>
      </c>
      <c r="AP2" s="38" t="s">
        <v>175</v>
      </c>
      <c r="AQ2" s="39">
        <v>599053</v>
      </c>
      <c r="AR2" s="37"/>
      <c r="AS2" s="44" t="s">
        <v>116</v>
      </c>
    </row>
    <row r="3" ht="42" customHeight="1" spans="1:45">
      <c r="A3" s="3" t="s">
        <v>176</v>
      </c>
      <c r="B3" s="4" t="s">
        <v>389</v>
      </c>
      <c r="C3" s="5" t="s">
        <v>48</v>
      </c>
      <c r="D3" s="6" t="s">
        <v>177</v>
      </c>
      <c r="E3" s="3" t="s">
        <v>164</v>
      </c>
      <c r="F3" s="3" t="s">
        <v>50</v>
      </c>
      <c r="G3" s="3" t="s">
        <v>165</v>
      </c>
      <c r="H3" s="318" t="s">
        <v>166</v>
      </c>
      <c r="I3" s="9" t="s">
        <v>167</v>
      </c>
      <c r="J3" s="10" t="s">
        <v>168</v>
      </c>
      <c r="K3" s="11">
        <v>3</v>
      </c>
      <c r="L3" s="11">
        <v>390</v>
      </c>
      <c r="M3" s="19">
        <v>659432</v>
      </c>
      <c r="N3" s="20"/>
      <c r="O3" s="18"/>
      <c r="P3" s="10"/>
      <c r="Q3" s="21">
        <v>1</v>
      </c>
      <c r="R3" s="12" t="s">
        <v>178</v>
      </c>
      <c r="S3" s="13" t="s">
        <v>179</v>
      </c>
      <c r="T3" s="22" t="s">
        <v>180</v>
      </c>
      <c r="U3" s="14" t="s">
        <v>172</v>
      </c>
      <c r="V3" s="24" t="s">
        <v>173</v>
      </c>
      <c r="W3" s="25" t="s">
        <v>174</v>
      </c>
      <c r="X3" s="25" t="s">
        <v>68</v>
      </c>
      <c r="Y3" s="27"/>
      <c r="Z3" s="27"/>
      <c r="AA3" s="28"/>
      <c r="AB3" s="28"/>
      <c r="AC3" s="30"/>
      <c r="AD3" s="31"/>
      <c r="AE3" s="31"/>
      <c r="AF3" s="32"/>
      <c r="AG3" s="33"/>
      <c r="AH3" s="33"/>
      <c r="AI3" s="33"/>
      <c r="AJ3" s="34"/>
      <c r="AK3" s="36"/>
      <c r="AL3" s="36"/>
      <c r="AM3" s="36"/>
      <c r="AN3" s="32"/>
      <c r="AO3" s="40"/>
      <c r="AP3" s="41"/>
      <c r="AQ3" s="42"/>
      <c r="AR3" s="40"/>
      <c r="AS3" s="45"/>
    </row>
    <row r="4" ht="57" customHeight="1" spans="1:45">
      <c r="A4" s="3" t="s">
        <v>181</v>
      </c>
      <c r="B4" s="4" t="s">
        <v>389</v>
      </c>
      <c r="C4" s="5" t="s">
        <v>48</v>
      </c>
      <c r="D4" s="6">
        <v>46146</v>
      </c>
      <c r="E4" s="3" t="s">
        <v>182</v>
      </c>
      <c r="F4" s="3" t="s">
        <v>50</v>
      </c>
      <c r="G4" s="3" t="s">
        <v>183</v>
      </c>
      <c r="H4" s="318" t="s">
        <v>184</v>
      </c>
      <c r="I4" s="9" t="s">
        <v>185</v>
      </c>
      <c r="J4" s="10" t="s">
        <v>122</v>
      </c>
      <c r="K4" s="11">
        <v>1</v>
      </c>
      <c r="L4" s="11">
        <v>38.5</v>
      </c>
      <c r="M4" s="19">
        <v>28000</v>
      </c>
      <c r="N4" s="20"/>
      <c r="O4" s="18"/>
      <c r="P4" s="10"/>
      <c r="Q4" s="21">
        <v>1</v>
      </c>
      <c r="R4" s="12" t="s">
        <v>186</v>
      </c>
      <c r="S4" s="13" t="s">
        <v>187</v>
      </c>
      <c r="T4" s="22"/>
      <c r="U4" s="14" t="s">
        <v>188</v>
      </c>
      <c r="V4" s="26" t="s">
        <v>189</v>
      </c>
      <c r="W4" s="25" t="s">
        <v>73</v>
      </c>
      <c r="X4" s="25" t="s">
        <v>190</v>
      </c>
      <c r="Y4" s="27"/>
      <c r="Z4" s="27"/>
      <c r="AA4" s="28"/>
      <c r="AB4" s="28"/>
      <c r="AC4" s="30"/>
      <c r="AD4" s="31"/>
      <c r="AE4" s="31"/>
      <c r="AF4" s="32"/>
      <c r="AG4" s="33"/>
      <c r="AH4" s="33"/>
      <c r="AI4" s="33"/>
      <c r="AJ4" s="34"/>
      <c r="AK4" s="36"/>
      <c r="AL4" s="36"/>
      <c r="AM4" s="36"/>
      <c r="AN4" s="32"/>
      <c r="AO4" s="40"/>
      <c r="AP4" s="41"/>
      <c r="AQ4" s="43"/>
      <c r="AR4" s="40"/>
      <c r="AS4" s="46"/>
    </row>
    <row r="5" ht="50" customHeight="1" spans="1:45">
      <c r="A5" s="3" t="s">
        <v>191</v>
      </c>
      <c r="B5" s="4" t="s">
        <v>389</v>
      </c>
      <c r="C5" s="5" t="s">
        <v>48</v>
      </c>
      <c r="D5" s="6" t="s">
        <v>192</v>
      </c>
      <c r="E5" s="3" t="s">
        <v>193</v>
      </c>
      <c r="F5" s="3" t="s">
        <v>86</v>
      </c>
      <c r="G5" s="3" t="s">
        <v>194</v>
      </c>
      <c r="H5" s="318" t="s">
        <v>195</v>
      </c>
      <c r="I5" s="9" t="s">
        <v>1274</v>
      </c>
      <c r="J5" s="10" t="s">
        <v>122</v>
      </c>
      <c r="K5" s="11">
        <v>1</v>
      </c>
      <c r="L5" s="11">
        <v>238.6</v>
      </c>
      <c r="M5" s="19">
        <v>62879</v>
      </c>
      <c r="N5" s="20"/>
      <c r="O5" s="18"/>
      <c r="P5" s="10"/>
      <c r="Q5" s="21">
        <v>2</v>
      </c>
      <c r="R5" s="12" t="s">
        <v>123</v>
      </c>
      <c r="S5" s="13" t="s">
        <v>197</v>
      </c>
      <c r="T5" s="22"/>
      <c r="U5" s="14" t="s">
        <v>193</v>
      </c>
      <c r="V5" s="26" t="s">
        <v>198</v>
      </c>
      <c r="W5" s="25" t="s">
        <v>99</v>
      </c>
      <c r="X5" s="25" t="s">
        <v>199</v>
      </c>
      <c r="Y5" s="27"/>
      <c r="Z5" s="27"/>
      <c r="AA5" s="28"/>
      <c r="AB5" s="28"/>
      <c r="AC5" s="30"/>
      <c r="AD5" s="31"/>
      <c r="AE5" s="31"/>
      <c r="AF5" s="32"/>
      <c r="AG5" s="33"/>
      <c r="AH5" s="33"/>
      <c r="AI5" s="33"/>
      <c r="AJ5" s="34"/>
      <c r="AK5" s="36"/>
      <c r="AL5" s="36"/>
      <c r="AM5" s="36"/>
      <c r="AN5" s="32"/>
      <c r="AO5" s="40"/>
      <c r="AP5" s="41"/>
      <c r="AQ5" s="43"/>
      <c r="AR5" s="40"/>
      <c r="AS5" s="46"/>
    </row>
    <row r="8" ht="34" spans="1:10">
      <c r="A8" s="2" t="s">
        <v>4</v>
      </c>
      <c r="B8" s="7" t="s">
        <v>7</v>
      </c>
      <c r="C8" s="7" t="s">
        <v>5</v>
      </c>
      <c r="D8" s="1" t="s">
        <v>8</v>
      </c>
      <c r="E8" s="1" t="s">
        <v>10</v>
      </c>
      <c r="F8" s="1" t="s">
        <v>11</v>
      </c>
      <c r="G8" s="1" t="s">
        <v>12</v>
      </c>
      <c r="H8" s="2" t="s">
        <v>13</v>
      </c>
      <c r="I8" s="1" t="s">
        <v>19</v>
      </c>
      <c r="J8" s="2" t="s">
        <v>20</v>
      </c>
    </row>
    <row r="9" ht="38" customHeight="1" spans="1:10">
      <c r="A9" s="6" t="s">
        <v>163</v>
      </c>
      <c r="B9" s="3" t="s">
        <v>50</v>
      </c>
      <c r="C9" s="3" t="s">
        <v>164</v>
      </c>
      <c r="D9" s="3" t="s">
        <v>165</v>
      </c>
      <c r="E9" s="9" t="s">
        <v>167</v>
      </c>
      <c r="F9" s="10" t="s">
        <v>168</v>
      </c>
      <c r="G9" s="11">
        <v>2</v>
      </c>
      <c r="H9" s="11">
        <v>390</v>
      </c>
      <c r="I9" s="12" t="s">
        <v>169</v>
      </c>
      <c r="J9" s="13" t="s">
        <v>1272</v>
      </c>
    </row>
    <row r="10" ht="51" spans="1:10">
      <c r="A10" s="6">
        <v>46116</v>
      </c>
      <c r="B10" s="3" t="s">
        <v>50</v>
      </c>
      <c r="C10" s="3" t="s">
        <v>1275</v>
      </c>
      <c r="D10" s="3" t="s">
        <v>152</v>
      </c>
      <c r="E10" s="9" t="s">
        <v>1276</v>
      </c>
      <c r="F10" s="10" t="s">
        <v>122</v>
      </c>
      <c r="G10" s="11">
        <v>1</v>
      </c>
      <c r="H10" s="11">
        <v>54.5</v>
      </c>
      <c r="I10" s="12" t="s">
        <v>123</v>
      </c>
      <c r="J10" s="13" t="s">
        <v>197</v>
      </c>
    </row>
    <row r="11" ht="36" customHeight="1" spans="1:10">
      <c r="A11" s="6">
        <v>46116</v>
      </c>
      <c r="B11" s="3" t="s">
        <v>86</v>
      </c>
      <c r="C11" s="3" t="s">
        <v>1277</v>
      </c>
      <c r="D11" s="3" t="s">
        <v>145</v>
      </c>
      <c r="E11" s="3" t="s">
        <v>1277</v>
      </c>
      <c r="F11" s="10" t="s">
        <v>90</v>
      </c>
      <c r="G11" s="11">
        <v>2</v>
      </c>
      <c r="H11" s="11">
        <v>22</v>
      </c>
      <c r="I11" s="14" t="s">
        <v>1278</v>
      </c>
      <c r="J11" s="13" t="s">
        <v>1279</v>
      </c>
    </row>
    <row r="12" ht="34" spans="1:10">
      <c r="A12" s="6" t="s">
        <v>177</v>
      </c>
      <c r="B12" s="3" t="s">
        <v>50</v>
      </c>
      <c r="C12" s="3" t="s">
        <v>164</v>
      </c>
      <c r="D12" s="3" t="s">
        <v>165</v>
      </c>
      <c r="E12" s="9" t="s">
        <v>167</v>
      </c>
      <c r="F12" s="10" t="s">
        <v>168</v>
      </c>
      <c r="G12" s="11">
        <v>3</v>
      </c>
      <c r="H12" s="11">
        <v>390</v>
      </c>
      <c r="I12" s="12" t="s">
        <v>178</v>
      </c>
      <c r="J12" s="13" t="s">
        <v>179</v>
      </c>
    </row>
    <row r="13" ht="34" customHeight="1" spans="1:10">
      <c r="A13" s="6">
        <v>46146</v>
      </c>
      <c r="B13" s="3" t="s">
        <v>50</v>
      </c>
      <c r="C13" s="3" t="s">
        <v>182</v>
      </c>
      <c r="D13" s="3" t="s">
        <v>183</v>
      </c>
      <c r="E13" s="9" t="s">
        <v>185</v>
      </c>
      <c r="F13" s="10" t="s">
        <v>122</v>
      </c>
      <c r="G13" s="11">
        <v>1</v>
      </c>
      <c r="H13" s="11">
        <v>38.5</v>
      </c>
      <c r="I13" s="12" t="s">
        <v>186</v>
      </c>
      <c r="J13" s="13" t="s">
        <v>187</v>
      </c>
    </row>
    <row r="14" ht="63" customHeight="1" spans="1:10">
      <c r="A14" s="6" t="s">
        <v>192</v>
      </c>
      <c r="B14" s="3" t="s">
        <v>86</v>
      </c>
      <c r="C14" s="3" t="s">
        <v>193</v>
      </c>
      <c r="D14" s="3" t="s">
        <v>194</v>
      </c>
      <c r="E14" s="9" t="s">
        <v>1274</v>
      </c>
      <c r="F14" s="10" t="s">
        <v>122</v>
      </c>
      <c r="G14" s="11">
        <v>1</v>
      </c>
      <c r="H14" s="11">
        <v>238.6</v>
      </c>
      <c r="I14" s="12" t="s">
        <v>123</v>
      </c>
      <c r="J14" s="13" t="s">
        <v>197</v>
      </c>
    </row>
  </sheetData>
  <mergeCells count="5">
    <mergeCell ref="AO2:AO3"/>
    <mergeCell ref="AP2:AP3"/>
    <mergeCell ref="AQ2:AQ3"/>
    <mergeCell ref="AR2:AR3"/>
    <mergeCell ref="AS2:AS3"/>
  </mergeCells>
  <conditionalFormatting sqref="B2">
    <cfRule type="containsText" dxfId="0" priority="1" operator="between" text="canceled">
      <formula>NOT(ISERROR(SEARCH("canceled",B2)))</formula>
    </cfRule>
    <cfRule type="containsText" dxfId="1" priority="2" operator="between" text="confirmed">
      <formula>NOT(ISERROR(SEARCH("confirmed",B2)))</formula>
    </cfRule>
    <cfRule type="containsText" dxfId="2" priority="3" operator="between" text="postponed">
      <formula>NOT(ISERROR(SEARCH("postponed",B2)))</formula>
    </cfRule>
    <cfRule type="containsText" dxfId="3" priority="4" operator="between" text="completed">
      <formula>NOT(ISERROR(SEARCH("completed",B2)))</formula>
    </cfRule>
  </conditionalFormatting>
  <conditionalFormatting sqref="B3:B5">
    <cfRule type="containsText" dxfId="0" priority="5" operator="between" text="canceled">
      <formula>NOT(ISERROR(SEARCH("canceled",B3)))</formula>
    </cfRule>
    <cfRule type="containsText" dxfId="1" priority="6" operator="between" text="confirmed">
      <formula>NOT(ISERROR(SEARCH("confirmed",B3)))</formula>
    </cfRule>
    <cfRule type="containsText" dxfId="2" priority="7" operator="between" text="postponed">
      <formula>NOT(ISERROR(SEARCH("postponed",B3)))</formula>
    </cfRule>
    <cfRule type="containsText" dxfId="3" priority="8" operator="between" text="completed">
      <formula>NOT(ISERROR(SEARCH("completed",B3)))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April Report</vt:lpstr>
      <vt:lpstr>Hire Details</vt:lpstr>
      <vt:lpstr>Sheet1</vt:lpstr>
      <vt:lpstr>Sheet2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abi work</cp:lastModifiedBy>
  <dcterms:created xsi:type="dcterms:W3CDTF">2025-04-23T20:24:00Z</dcterms:created>
  <dcterms:modified xsi:type="dcterms:W3CDTF">2026-04-22T11:47:53Z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034F2175A3111B831168E869515EDAF2_43</vt:lpwstr>
  </property>
  <property fmtid="{D5CDD505-2E9C-101B-9397-08002B2CF9AE}" pid="3" name="KSOProductBuildVer">
    <vt:lpwstr>1033-12.1.23155.23155</vt:lpwstr>
  </property>
  <property fmtid="{D5CDD505-2E9C-101B-9397-08002B2CF9AE}" pid="4" name="KSOReadingLayout">
    <vt:bool>false</vt:bool>
  </property>
</Properties>
</file>