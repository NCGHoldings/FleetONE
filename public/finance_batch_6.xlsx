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30240" windowHeight="12280"/>
  </bookViews>
  <sheets>
    <sheet name="DATA" sheetId="1" r:id="rId1"/>
    <sheet name="P INV " sheetId="3" r:id="rId2"/>
    <sheet name="Final  INV" sheetId="4" r:id="rId3"/>
    <sheet name="Final  INV (2)" sheetId="5" r:id="rId4"/>
  </sheets>
  <definedNames>
    <definedName name="_xlnm._FilterDatabase" localSheetId="0" hidden="1">DATA!$A$1:$N$53</definedName>
    <definedName name="_xlnm.Print_Area" localSheetId="2">'Final  INV'!$A$1:$G$51</definedName>
    <definedName name="_xlnm.Print_Area" localSheetId="3">'Final  INV (2)'!$A$1:$G$51</definedName>
    <definedName name="_xlnm.Print_Area" localSheetId="1">'P INV '!$A$1:$G$51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<sst xmlns="http://schemas.openxmlformats.org/spreadsheetml/2006/main" count="594" uniqueCount="330">
  <si>
    <t>NO</t>
  </si>
  <si>
    <t>INV NO</t>
  </si>
  <si>
    <t>PI NO</t>
  </si>
  <si>
    <t>MODEL</t>
  </si>
  <si>
    <t>ORDER NO</t>
  </si>
  <si>
    <t>ITEM NO</t>
  </si>
  <si>
    <t>ENGINE NO</t>
  </si>
  <si>
    <t>VIN NO</t>
  </si>
  <si>
    <t>colour</t>
  </si>
  <si>
    <t>Engine Capacity</t>
  </si>
  <si>
    <t>CHASSIS NO</t>
  </si>
  <si>
    <t>CUSTOMER NAME</t>
  </si>
  <si>
    <t>SEATING</t>
  </si>
  <si>
    <t>U/P</t>
  </si>
  <si>
    <t>REG NO</t>
  </si>
  <si>
    <t>FINANCE COMPANY</t>
  </si>
  <si>
    <t>INV DATE</t>
  </si>
  <si>
    <t>DELIVERY DATE</t>
  </si>
  <si>
    <t>COMPANY</t>
  </si>
  <si>
    <t>ADDRESS</t>
  </si>
  <si>
    <t>INVOICE ISSED BY</t>
  </si>
  <si>
    <t>CUSTOMER CONTRIBUTION</t>
  </si>
  <si>
    <t>LEASING</t>
  </si>
  <si>
    <t>NCGH-YT-PI-2506001</t>
  </si>
  <si>
    <t>ZK6907H (37+1+1)</t>
  </si>
  <si>
    <t>454104</t>
  </si>
  <si>
    <t>25E371X-0025</t>
  </si>
  <si>
    <t>A5CYAS30186</t>
  </si>
  <si>
    <t>LZYTDTD68T1003362</t>
  </si>
  <si>
    <t>GREEN</t>
  </si>
  <si>
    <t>Mr. Osanda</t>
  </si>
  <si>
    <t>N/A</t>
  </si>
  <si>
    <t>NCGH-YT-PI-2506002</t>
  </si>
  <si>
    <t>454107</t>
  </si>
  <si>
    <t>25E371X-0026</t>
  </si>
  <si>
    <t>A5CYAS30181</t>
  </si>
  <si>
    <t>LZYTDTD6XT1003363</t>
  </si>
  <si>
    <t>WHITE</t>
  </si>
  <si>
    <t>Mr.Naveen Express</t>
  </si>
  <si>
    <t>NCGH-YT-PI-2506003</t>
  </si>
  <si>
    <t>454109</t>
  </si>
  <si>
    <t>25E371X-0027</t>
  </si>
  <si>
    <t>A5CYAS30188</t>
  </si>
  <si>
    <t>LZYTDTD61T1003364</t>
  </si>
  <si>
    <t>Mr.Thushara</t>
  </si>
  <si>
    <t>NCGH-YT-PI-2506004</t>
  </si>
  <si>
    <t>454139</t>
  </si>
  <si>
    <t>25E371X-0043</t>
  </si>
  <si>
    <t>A5CYAS30169</t>
  </si>
  <si>
    <t>LZYTDTD6XT1003380</t>
  </si>
  <si>
    <t>Mr. Duminda</t>
  </si>
  <si>
    <t>NCGH-YT-PI-2506005</t>
  </si>
  <si>
    <t>454137</t>
  </si>
  <si>
    <t>25E371X-0039</t>
  </si>
  <si>
    <t>A5CYAS30192</t>
  </si>
  <si>
    <t>LZYTDTD68T1003376</t>
  </si>
  <si>
    <t>Chandimal Upul </t>
  </si>
  <si>
    <t>NCGH-YT-PI-2506006</t>
  </si>
  <si>
    <t>25E371X-0040</t>
  </si>
  <si>
    <t>A5CYAS30180</t>
  </si>
  <si>
    <t>LZYTDTD6XT1003377</t>
  </si>
  <si>
    <t>A W Samarasekara </t>
  </si>
  <si>
    <t>NCGH-YT-PI-2506007</t>
  </si>
  <si>
    <t>25E371X-0041</t>
  </si>
  <si>
    <t>A5CYAS30179</t>
  </si>
  <si>
    <t>LZYTDTD61T1003378</t>
  </si>
  <si>
    <t>Mr. Lakmal </t>
  </si>
  <si>
    <t>NCGH-YT-PI-2506008</t>
  </si>
  <si>
    <t>25E371X-0042</t>
  </si>
  <si>
    <t>A5CYAS30185</t>
  </si>
  <si>
    <t>LZYTDTD63T1003379</t>
  </si>
  <si>
    <t>exstock</t>
  </si>
  <si>
    <t>NCGH-YT-PI-2506009</t>
  </si>
  <si>
    <t>ZK6907H (35+1+1)</t>
  </si>
  <si>
    <t>454134</t>
  </si>
  <si>
    <t>25E371X-0029</t>
  </si>
  <si>
    <t>A5CYAS30182</t>
  </si>
  <si>
    <t>LZYTDTD65T1003366</t>
  </si>
  <si>
    <t xml:space="preserve">K A S Wimalarathna </t>
  </si>
  <si>
    <t>NCGH-YT-PI-2506010</t>
  </si>
  <si>
    <t>25E371X-0030</t>
  </si>
  <si>
    <t>A5CYAS30183</t>
  </si>
  <si>
    <t>LZYTDTD67T1003367</t>
  </si>
  <si>
    <t xml:space="preserve">Muthanthri / H A D Priyantha </t>
  </si>
  <si>
    <t>NCGH-YT-PI-2506011</t>
  </si>
  <si>
    <t>25E371X-0031</t>
  </si>
  <si>
    <t>A5CYAS30190</t>
  </si>
  <si>
    <t>LZYTDTD69T1003368</t>
  </si>
  <si>
    <t>Maduranga</t>
  </si>
  <si>
    <t>NCGH-YT-PI-2506012</t>
  </si>
  <si>
    <t>25E371X-0032</t>
  </si>
  <si>
    <t>A5CYAS30194</t>
  </si>
  <si>
    <t>LZYTDTD60T1003369</t>
  </si>
  <si>
    <t>KK SS Sandaruwan</t>
  </si>
  <si>
    <t>NCGH-YT-PI-2506013</t>
  </si>
  <si>
    <t>25E371X-0033</t>
  </si>
  <si>
    <t>A5CYAS30193</t>
  </si>
  <si>
    <t>LZYTDTD67T1003370</t>
  </si>
  <si>
    <t>W R D Rajanayake</t>
  </si>
  <si>
    <t>NCGH-YT-PI-2506014</t>
  </si>
  <si>
    <t>25E371X-0034</t>
  </si>
  <si>
    <t>A5CYAS30161</t>
  </si>
  <si>
    <t>LZYTDTD69T1003371</t>
  </si>
  <si>
    <t>Aitkenspense</t>
  </si>
  <si>
    <t>NCGH-YT-PI-2506015</t>
  </si>
  <si>
    <t>25E371X-0035</t>
  </si>
  <si>
    <t>A5CYAS30187</t>
  </si>
  <si>
    <t>LZYTDTD60T1003372</t>
  </si>
  <si>
    <t>NCGH-YT-PI-2506016</t>
  </si>
  <si>
    <t>25E371X-0036</t>
  </si>
  <si>
    <t>A5CYAS30191</t>
  </si>
  <si>
    <t>LZYTDTD62T1003373</t>
  </si>
  <si>
    <t xml:space="preserve">Best of Lanka </t>
  </si>
  <si>
    <t>NCGH-YT-PI-2506017</t>
  </si>
  <si>
    <t>25E371X-0037</t>
  </si>
  <si>
    <t>A5CYAS30184</t>
  </si>
  <si>
    <t>LZYTDTD64T1003374</t>
  </si>
  <si>
    <t xml:space="preserve">Deva </t>
  </si>
  <si>
    <t>NCGH-YT-PI-2506018</t>
  </si>
  <si>
    <t>25E371X-0038</t>
  </si>
  <si>
    <t>A5CYAS30195</t>
  </si>
  <si>
    <t>LZYTDTD66T1003375</t>
  </si>
  <si>
    <t>Maheshi Tours</t>
  </si>
  <si>
    <t>NCGH-YT-PI-2506019</t>
  </si>
  <si>
    <t>454115</t>
  </si>
  <si>
    <t>25E371X-0028</t>
  </si>
  <si>
    <t>A5CYAS30189</t>
  </si>
  <si>
    <t>LZYTDTD63T1003365</t>
  </si>
  <si>
    <t>Mr.Chamara Indrajith</t>
  </si>
  <si>
    <t>NCGH-YT-PI-2506020</t>
  </si>
  <si>
    <t>ZK6117H</t>
  </si>
  <si>
    <t>454248</t>
  </si>
  <si>
    <t>25B467X-0053</t>
  </si>
  <si>
    <t>LA2YBS50050</t>
  </si>
  <si>
    <t>LZYTATE6XT1003399</t>
  </si>
  <si>
    <t>Lucky J</t>
  </si>
  <si>
    <t>NCGH-YT-PI-2506021</t>
  </si>
  <si>
    <t>25B467X-0054</t>
  </si>
  <si>
    <t>LA2YBS50049</t>
  </si>
  <si>
    <t>LZYTATE62T1003400</t>
  </si>
  <si>
    <t>Sigiri Sampath</t>
  </si>
  <si>
    <t>NCGH-YT-PI-2506022</t>
  </si>
  <si>
    <t>25B467X-0055</t>
  </si>
  <si>
    <t>LA2YBS50051</t>
  </si>
  <si>
    <t>LZYTATE64T1003401</t>
  </si>
  <si>
    <t>Chathura Wanniarachchi</t>
  </si>
  <si>
    <t>NCGH-YT-PI-2506023</t>
  </si>
  <si>
    <t>25B467X-0056</t>
  </si>
  <si>
    <t>LA2YBS50053</t>
  </si>
  <si>
    <t>LZYTATE66T1003402</t>
  </si>
  <si>
    <t>NCGH-YT-PI-2506024</t>
  </si>
  <si>
    <t>454210</t>
  </si>
  <si>
    <t>25B467X-0047</t>
  </si>
  <si>
    <t>LA2YBS50057</t>
  </si>
  <si>
    <t>LZYTATE62T1003381</t>
  </si>
  <si>
    <t>NCGH-YT-PI-2506025</t>
  </si>
  <si>
    <t>454212</t>
  </si>
  <si>
    <t>25B467X-0049</t>
  </si>
  <si>
    <t>LA2YBS50054</t>
  </si>
  <si>
    <t>LZYTATE66T1003383</t>
  </si>
  <si>
    <t>NCGH-YT-PI-2506026</t>
  </si>
  <si>
    <t>454242</t>
  </si>
  <si>
    <t>25B467X-0050</t>
  </si>
  <si>
    <t>LA2YBS50056</t>
  </si>
  <si>
    <t>LZYTATE68T1003384</t>
  </si>
  <si>
    <t>NCGH-YT-PI-2506027</t>
  </si>
  <si>
    <t>454447</t>
  </si>
  <si>
    <t>25B467X-0052</t>
  </si>
  <si>
    <t>LA2YBS50058</t>
  </si>
  <si>
    <t>LZYTATE61T1003386</t>
  </si>
  <si>
    <t>BLUE/WHITE/YELLOW</t>
  </si>
  <si>
    <t>NCGH-YT-PI-2506028</t>
  </si>
  <si>
    <t>ZK6128H LUXURY</t>
  </si>
  <si>
    <t>454771</t>
  </si>
  <si>
    <t>25B483X-0002</t>
  </si>
  <si>
    <t>7526A000250</t>
  </si>
  <si>
    <t>LZYTATF69T1051930</t>
  </si>
  <si>
    <t>NCGH-YT-PI-2506029</t>
  </si>
  <si>
    <t>454851</t>
  </si>
  <si>
    <t>25B483X-0007</t>
  </si>
  <si>
    <t>7526A000246</t>
  </si>
  <si>
    <t>LZYTATF65T1051942</t>
  </si>
  <si>
    <t>LIGHT GREEN</t>
  </si>
  <si>
    <t>NCGH-YT-PI-2506030</t>
  </si>
  <si>
    <t>454721</t>
  </si>
  <si>
    <t>25B483X-0001</t>
  </si>
  <si>
    <t>7526A000120</t>
  </si>
  <si>
    <t>LZYTATF62T1051929</t>
  </si>
  <si>
    <t>BLACK/YELLOW/WHITE</t>
  </si>
  <si>
    <t>NCGH-YT-PI-2506031</t>
  </si>
  <si>
    <t>454808</t>
  </si>
  <si>
    <t>25B483X-0005</t>
  </si>
  <si>
    <t>7526A000124</t>
  </si>
  <si>
    <t>LZYTATF64T1051933</t>
  </si>
  <si>
    <t>NCGH-YT-PI-2506032</t>
  </si>
  <si>
    <t>454774</t>
  </si>
  <si>
    <t>25B483X-0003</t>
  </si>
  <si>
    <t>7526A000254</t>
  </si>
  <si>
    <t>LZYTATF60T1051931</t>
  </si>
  <si>
    <t>WHITE/RED/GRAY</t>
  </si>
  <si>
    <t>NCGH-YT-PI-2506033</t>
  </si>
  <si>
    <t>454812</t>
  </si>
  <si>
    <t>25B483X-0006</t>
  </si>
  <si>
    <t>7526A000251</t>
  </si>
  <si>
    <t>LZYTATF66T1051934</t>
  </si>
  <si>
    <t>PINK</t>
  </si>
  <si>
    <t>NCGH-YT-PI-2506034</t>
  </si>
  <si>
    <t>454797</t>
  </si>
  <si>
    <t>25B483X-0004</t>
  </si>
  <si>
    <t>7526A000255</t>
  </si>
  <si>
    <t>LZYTATF62T1051932</t>
  </si>
  <si>
    <t>WHITE/BLACK/GRAY</t>
  </si>
  <si>
    <t>NCGH-YT-PI-2506035</t>
  </si>
  <si>
    <t>454900</t>
  </si>
  <si>
    <t>25B483X-0008</t>
  </si>
  <si>
    <t>7526A000118</t>
  </si>
  <si>
    <t>LZYTATF64T1052113</t>
  </si>
  <si>
    <t>NCGH-YT-PI-2506036</t>
  </si>
  <si>
    <t>454901</t>
  </si>
  <si>
    <t>25B483X-0009</t>
  </si>
  <si>
    <t>7526A000247</t>
  </si>
  <si>
    <t>LZYTATF66T1052114</t>
  </si>
  <si>
    <t>Pasan Lasindu</t>
  </si>
  <si>
    <t>NCGH-YT-PI-2506037</t>
  </si>
  <si>
    <t>25B483X-0010</t>
  </si>
  <si>
    <t>7526A000244</t>
  </si>
  <si>
    <t>LZYTATF68T1052115</t>
  </si>
  <si>
    <t>NCGH-YT-PI-2506038</t>
  </si>
  <si>
    <t>25B483X-0011</t>
  </si>
  <si>
    <t>7526A000252</t>
  </si>
  <si>
    <t>LZYTATF6XT1052116</t>
  </si>
  <si>
    <t>G G Wasantha Kumara</t>
  </si>
  <si>
    <t>NCGH-YT-PI-2506039</t>
  </si>
  <si>
    <t>25B483X-0012</t>
  </si>
  <si>
    <t>7526A000114</t>
  </si>
  <si>
    <t>LZYTATF61T1052117</t>
  </si>
  <si>
    <t>RS Express</t>
  </si>
  <si>
    <t>NCGH-YT-PI-2506040</t>
  </si>
  <si>
    <t>25B483X-0013</t>
  </si>
  <si>
    <t>7526A000248</t>
  </si>
  <si>
    <t>LZYTATF63T1052118</t>
  </si>
  <si>
    <t>Rathna</t>
  </si>
  <si>
    <t>NCGH-YT-PI-2506041</t>
  </si>
  <si>
    <t>25B483X-0014</t>
  </si>
  <si>
    <t>7526A000194</t>
  </si>
  <si>
    <t>LZYTATF65T1052119</t>
  </si>
  <si>
    <t>NCGH-YT-PI-2506042</t>
  </si>
  <si>
    <t>25B483X-0015</t>
  </si>
  <si>
    <t>7526A000249</t>
  </si>
  <si>
    <t>LZYTATF61T1052120</t>
  </si>
  <si>
    <t>NCGH-YT-PI-2506043</t>
  </si>
  <si>
    <t>25B483X-0016</t>
  </si>
  <si>
    <t>7526A000121</t>
  </si>
  <si>
    <t>LZYTATF63T1052121</t>
  </si>
  <si>
    <t>NCGH-YT-PI-2506044</t>
  </si>
  <si>
    <t>25B483X-0017</t>
  </si>
  <si>
    <t>7526A000193</t>
  </si>
  <si>
    <t>LZYTATF65T1052122</t>
  </si>
  <si>
    <t>NCGH-YT-PI-2506045</t>
  </si>
  <si>
    <t>25B483X-0020</t>
  </si>
  <si>
    <t>7526A000119</t>
  </si>
  <si>
    <t>LZYTATF60T1052125</t>
  </si>
  <si>
    <t>NCGH-YT-PI-2506046</t>
  </si>
  <si>
    <t>25B483X-0021</t>
  </si>
  <si>
    <t>7526A000253</t>
  </si>
  <si>
    <t>LZYTATF62T1052126</t>
  </si>
  <si>
    <t>NCGH-YT-PI-2506047</t>
  </si>
  <si>
    <t>25B483X-0022</t>
  </si>
  <si>
    <t>7526A000115</t>
  </si>
  <si>
    <t>LZYTATF64T1052127</t>
  </si>
  <si>
    <t>NCGH-YT-PI-2506048</t>
  </si>
  <si>
    <t>454897</t>
  </si>
  <si>
    <t>25B483X-0023</t>
  </si>
  <si>
    <t>7526A000245</t>
  </si>
  <si>
    <t>LZYTATF6XT1052150</t>
  </si>
  <si>
    <t>NCG Paint</t>
  </si>
  <si>
    <t>NCG Express</t>
  </si>
  <si>
    <t>NCGH-YT-PI-2506049</t>
  </si>
  <si>
    <t>25B483X-0024</t>
  </si>
  <si>
    <t>7526A000117</t>
  </si>
  <si>
    <t>LZYTATF61T1052151</t>
  </si>
  <si>
    <t>NCGH-YT-PI-2506050</t>
  </si>
  <si>
    <t>25B483X-0025</t>
  </si>
  <si>
    <t>7526A000116</t>
  </si>
  <si>
    <t>LZYTATF63T1052152</t>
  </si>
  <si>
    <t>NCGH-YT-PI-2506051</t>
  </si>
  <si>
    <t>25B483X-0026</t>
  </si>
  <si>
    <t>7526A000123</t>
  </si>
  <si>
    <t>LZYTATF65T1052153</t>
  </si>
  <si>
    <t>NCGH-YT-PI-2506052</t>
  </si>
  <si>
    <t>25B483X-0027</t>
  </si>
  <si>
    <t>7526A000122</t>
  </si>
  <si>
    <t>LZYTATF67T1052154</t>
  </si>
  <si>
    <t>TO :</t>
  </si>
  <si>
    <t xml:space="preserve">INVOICE NO               </t>
  </si>
  <si>
    <t>CUSTOMER :</t>
  </si>
  <si>
    <t xml:space="preserve">COMPANY </t>
  </si>
  <si>
    <t>ADDRESS :</t>
  </si>
  <si>
    <t>DATE :</t>
  </si>
  <si>
    <t>PRODUCT</t>
  </si>
  <si>
    <t>QTY</t>
  </si>
  <si>
    <t>UNIT PRICE</t>
  </si>
  <si>
    <t>TOTAL</t>
  </si>
  <si>
    <t>MAKE</t>
  </si>
  <si>
    <t>YUTONG</t>
  </si>
  <si>
    <t>BUS MODEL</t>
  </si>
  <si>
    <t>SEATING CAPACITY</t>
  </si>
  <si>
    <t>YEAR</t>
  </si>
  <si>
    <t>2025</t>
  </si>
  <si>
    <t>CONDITION</t>
  </si>
  <si>
    <t>BRAND NEW</t>
  </si>
  <si>
    <t>COLOUR</t>
  </si>
  <si>
    <t>ENGINE CAPACITY</t>
  </si>
  <si>
    <t>FUEL TYPE</t>
  </si>
  <si>
    <t>DIESEL</t>
  </si>
  <si>
    <t>CHASIS NUMBER</t>
  </si>
  <si>
    <t>AMOUNT IN WORD
(BALANCE PAYABLE)</t>
  </si>
  <si>
    <t>SUB TOTAL</t>
  </si>
  <si>
    <t>Leasing Amount</t>
  </si>
  <si>
    <t>Payment Terms : Payment method - by Cheque or bank transfer</t>
  </si>
  <si>
    <t xml:space="preserve">ACCOUNT NAME </t>
  </si>
  <si>
    <t>NCG HOLDINGS (PRIVATE) LIMITED</t>
  </si>
  <si>
    <t xml:space="preserve">ACCOUNT NUMBER </t>
  </si>
  <si>
    <t>BANK / BRANCH</t>
  </si>
  <si>
    <t>COMMERCIAL BANK - NUGEGODA</t>
  </si>
  <si>
    <t>NCGH-YT-PI-2505005</t>
  </si>
  <si>
    <t>SELLING PRICE</t>
  </si>
  <si>
    <t>AMOUNT TO BE LEASED</t>
  </si>
  <si>
    <t>NCGH-YT-PI-2505036</t>
  </si>
  <si>
    <t>PAYMENT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</si>
</sst>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_(* #,##0.00_);_(* \(#,##0.00\);_(* &quot;-&quot;??_);_(@_)"/>
    <numFmt numFmtId="177" formatCode="_(&quot;$&quot;* #,##0.00_);_(&quot;$&quot;* \(#,##0.00\);_(&quot;$&quot;* &quot;-&quot;??_);_(@_)"/>
    <numFmt numFmtId="178" formatCode="_-* #,##0_-;\-* #,##0_-;_-* &quot;-&quot;??_-;_-@_-"/>
  </numFmts>
  <fonts count="40">
    <font>
      <sz val="11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rgb="FF1E2867"/>
      <name val="Calibri"/>
      <charset val="134"/>
    </font>
    <font>
      <sz val="11"/>
      <name val="Calibri"/>
      <charset val="134"/>
      <scheme val="minor"/>
    </font>
    <font>
      <sz val="11"/>
      <name val="Calibri (Body)"/>
      <charset val="134"/>
    </font>
    <font>
      <sz val="11"/>
      <color theme="0"/>
      <name val="Calibri (Body)"/>
      <charset val="134"/>
    </font>
    <font>
      <b/>
      <sz val="11"/>
      <color theme="4" tint="-0.249977111117893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4"/>
      <color theme="1"/>
      <name val="Calibri"/>
      <charset val="134"/>
      <scheme val="minor"/>
    </font>
    <font>
      <i/>
      <sz val="9"/>
      <color theme="1"/>
      <name val="Helvetica"/>
      <charset val="134"/>
    </font>
    <font>
      <i/>
      <sz val="9"/>
      <color theme="0"/>
      <name val="Helvetica"/>
      <charset val="134"/>
    </font>
    <font>
      <i/>
      <sz val="8"/>
      <color rgb="FF003366"/>
      <name val="Helvetica"/>
      <charset val="134"/>
    </font>
    <font>
      <i/>
      <sz val="9"/>
      <color rgb="FF1E2867"/>
      <name val="Helvetica"/>
      <charset val="134"/>
    </font>
    <font>
      <sz val="14"/>
      <color rgb="FF000000"/>
      <name val="Lucida Sans Unicode"/>
      <charset val="134"/>
    </font>
    <font>
      <b/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>
      <alignment vertical="center"/>
    </xf>
    <xf numFmtId="176" fontId="0" fillId="0" borderId="0" applyFont="0" applyFill="0" applyBorder="0" applyAlignment="0" applyProtection="0"/>
    <xf numFmtId="44" fontId="21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41" fontId="21" fillId="0" borderId="0" applyFont="0" applyFill="0" applyBorder="0" applyAlignment="0" applyProtection="0">
      <alignment vertical="center"/>
    </xf>
    <xf numFmtId="42" fontId="21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1" fillId="5" borderId="30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31" applyNumberFormat="0" applyFill="0" applyAlignment="0" applyProtection="0">
      <alignment vertical="center"/>
    </xf>
    <xf numFmtId="0" fontId="27" fillId="0" borderId="31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6" borderId="33" applyNumberFormat="0" applyAlignment="0" applyProtection="0">
      <alignment vertical="center"/>
    </xf>
    <xf numFmtId="0" fontId="30" fillId="7" borderId="34" applyNumberFormat="0" applyAlignment="0" applyProtection="0">
      <alignment vertical="center"/>
    </xf>
    <xf numFmtId="0" fontId="31" fillId="7" borderId="33" applyNumberFormat="0" applyAlignment="0" applyProtection="0">
      <alignment vertical="center"/>
    </xf>
    <xf numFmtId="0" fontId="32" fillId="8" borderId="35" applyNumberFormat="0" applyAlignment="0" applyProtection="0">
      <alignment vertical="center"/>
    </xf>
    <xf numFmtId="0" fontId="33" fillId="0" borderId="36" applyNumberFormat="0" applyFill="0" applyAlignment="0" applyProtection="0">
      <alignment vertical="center"/>
    </xf>
    <xf numFmtId="0" fontId="34" fillId="0" borderId="37" applyNumberFormat="0" applyFill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</cellStyleXfs>
  <cellXfs count="80">
    <xf numFmtId="0" fontId="0" fillId="0" borderId="0" xfId="0">
      <alignment vertical="center"/>
    </xf>
    <xf numFmtId="0" fontId="1" fillId="0" borderId="0" xfId="53" applyFont="1">
      <alignment vertical="center"/>
    </xf>
    <xf numFmtId="0" fontId="0" fillId="0" borderId="0" xfId="53">
      <alignment vertical="center"/>
    </xf>
    <xf numFmtId="0" fontId="2" fillId="0" borderId="0" xfId="53" applyFont="1">
      <alignment vertical="center"/>
    </xf>
    <xf numFmtId="0" fontId="3" fillId="0" borderId="0" xfId="53" applyFont="1" applyAlignment="1">
      <alignment horizontal="left" vertical="top" wrapText="1"/>
    </xf>
    <xf numFmtId="0" fontId="4" fillId="0" borderId="0" xfId="53" applyFont="1">
      <alignment vertical="center"/>
    </xf>
    <xf numFmtId="0" fontId="3" fillId="0" borderId="0" xfId="53" applyFont="1">
      <alignment vertical="center"/>
    </xf>
    <xf numFmtId="0" fontId="5" fillId="0" borderId="0" xfId="53" applyFont="1">
      <alignment vertical="center"/>
    </xf>
    <xf numFmtId="0" fontId="6" fillId="0" borderId="0" xfId="53" applyFont="1">
      <alignment vertical="center"/>
    </xf>
    <xf numFmtId="0" fontId="7" fillId="0" borderId="0" xfId="53" applyFont="1">
      <alignment vertical="center"/>
    </xf>
    <xf numFmtId="0" fontId="8" fillId="2" borderId="1" xfId="53" applyFont="1" applyFill="1" applyBorder="1" applyAlignment="1">
      <alignment horizontal="center" vertical="center" wrapText="1"/>
    </xf>
    <xf numFmtId="0" fontId="8" fillId="2" borderId="2" xfId="53" applyFont="1" applyFill="1" applyBorder="1" applyAlignment="1">
      <alignment horizontal="center" vertical="center" wrapText="1"/>
    </xf>
    <xf numFmtId="0" fontId="8" fillId="2" borderId="2" xfId="53" applyFont="1" applyFill="1" applyBorder="1" applyAlignment="1">
      <alignment horizontal="center" vertical="center"/>
    </xf>
    <xf numFmtId="0" fontId="9" fillId="0" borderId="3" xfId="53" applyFont="1" applyBorder="1" applyAlignment="1">
      <alignment horizontal="left" vertical="center"/>
    </xf>
    <xf numFmtId="0" fontId="9" fillId="0" borderId="4" xfId="53" applyFont="1" applyBorder="1" applyAlignment="1">
      <alignment horizontal="center" vertical="center"/>
    </xf>
    <xf numFmtId="43" fontId="9" fillId="0" borderId="5" xfId="50" applyFont="1" applyFill="1" applyBorder="1" applyAlignment="1">
      <alignment vertical="center"/>
    </xf>
    <xf numFmtId="0" fontId="9" fillId="0" borderId="6" xfId="53" applyFont="1" applyBorder="1" applyAlignment="1">
      <alignment horizontal="left" vertical="center"/>
    </xf>
    <xf numFmtId="0" fontId="9" fillId="0" borderId="7" xfId="53" applyFont="1" applyBorder="1" applyAlignment="1">
      <alignment horizontal="center" vertical="center"/>
    </xf>
    <xf numFmtId="43" fontId="9" fillId="0" borderId="8" xfId="50" applyFont="1" applyFill="1" applyBorder="1" applyAlignment="1">
      <alignment vertical="center"/>
    </xf>
    <xf numFmtId="0" fontId="9" fillId="0" borderId="6" xfId="53" applyFont="1" applyBorder="1" applyAlignment="1">
      <alignment horizontal="left" vertical="top" wrapText="1"/>
    </xf>
    <xf numFmtId="58" fontId="9" fillId="0" borderId="7" xfId="53" applyNumberFormat="1" applyFont="1" applyBorder="1" applyAlignment="1">
      <alignment horizontal="center" vertical="center"/>
    </xf>
    <xf numFmtId="0" fontId="9" fillId="0" borderId="7" xfId="53" applyFont="1" applyBorder="1" applyAlignment="1">
      <alignment horizontal="center" vertical="center" wrapText="1"/>
    </xf>
    <xf numFmtId="0" fontId="9" fillId="0" borderId="9" xfId="53" applyFont="1" applyBorder="1" applyAlignment="1">
      <alignment horizontal="center" vertical="center" wrapText="1"/>
    </xf>
    <xf numFmtId="0" fontId="10" fillId="0" borderId="10" xfId="53" applyFont="1" applyBorder="1" applyAlignment="1">
      <alignment horizontal="center" vertical="center" wrapText="1"/>
    </xf>
    <xf numFmtId="0" fontId="10" fillId="0" borderId="11" xfId="53" applyFont="1" applyBorder="1" applyAlignment="1">
      <alignment horizontal="center" vertical="center" wrapText="1"/>
    </xf>
    <xf numFmtId="0" fontId="10" fillId="0" borderId="12" xfId="53" applyFont="1" applyBorder="1" applyAlignment="1">
      <alignment horizontal="center" vertical="center" wrapText="1"/>
    </xf>
    <xf numFmtId="0" fontId="10" fillId="0" borderId="13" xfId="53" applyFont="1" applyBorder="1" applyAlignment="1">
      <alignment horizontal="center" vertical="center" wrapText="1"/>
    </xf>
    <xf numFmtId="0" fontId="10" fillId="0" borderId="14" xfId="53" applyFont="1" applyBorder="1" applyAlignment="1">
      <alignment horizontal="center" vertical="center" wrapText="1"/>
    </xf>
    <xf numFmtId="0" fontId="10" fillId="0" borderId="0" xfId="53" applyFont="1" applyAlignment="1">
      <alignment horizontal="center" vertical="center" wrapText="1"/>
    </xf>
    <xf numFmtId="0" fontId="10" fillId="0" borderId="15" xfId="53" applyFont="1" applyBorder="1" applyAlignment="1">
      <alignment horizontal="center" vertical="center" wrapText="1"/>
    </xf>
    <xf numFmtId="0" fontId="10" fillId="0" borderId="16" xfId="53" applyFont="1" applyBorder="1" applyAlignment="1">
      <alignment horizontal="center" vertical="center" wrapText="1"/>
    </xf>
    <xf numFmtId="0" fontId="10" fillId="0" borderId="17" xfId="53" applyFont="1" applyBorder="1" applyAlignment="1">
      <alignment horizontal="center" vertical="center" wrapText="1"/>
    </xf>
    <xf numFmtId="0" fontId="9" fillId="0" borderId="0" xfId="53" applyFont="1" applyAlignment="1">
      <alignment horizontal="left" vertical="center"/>
    </xf>
    <xf numFmtId="0" fontId="0" fillId="0" borderId="0" xfId="53" applyAlignment="1">
      <alignment horizontal="center" vertical="center"/>
    </xf>
    <xf numFmtId="0" fontId="11" fillId="0" borderId="0" xfId="53" applyFont="1" applyAlignment="1">
      <alignment horizontal="left" vertical="center"/>
    </xf>
    <xf numFmtId="0" fontId="10" fillId="0" borderId="0" xfId="53" applyFont="1" applyAlignment="1">
      <alignment horizontal="left" vertical="center"/>
    </xf>
    <xf numFmtId="0" fontId="12" fillId="0" borderId="0" xfId="53" applyFont="1">
      <alignment vertical="center"/>
    </xf>
    <xf numFmtId="58" fontId="1" fillId="0" borderId="0" xfId="53" applyNumberFormat="1" applyFont="1">
      <alignment vertical="center"/>
    </xf>
    <xf numFmtId="0" fontId="3" fillId="0" borderId="0" xfId="53" applyFont="1" applyAlignment="1">
      <alignment horizontal="center" vertical="center"/>
    </xf>
    <xf numFmtId="0" fontId="8" fillId="2" borderId="18" xfId="53" applyFont="1" applyFill="1" applyBorder="1" applyAlignment="1">
      <alignment horizontal="center" vertical="center"/>
    </xf>
    <xf numFmtId="0" fontId="8" fillId="2" borderId="19" xfId="53" applyFont="1" applyFill="1" applyBorder="1" applyAlignment="1">
      <alignment horizontal="center" vertical="center"/>
    </xf>
    <xf numFmtId="43" fontId="9" fillId="0" borderId="20" xfId="51" applyFont="1" applyFill="1" applyBorder="1" applyAlignment="1">
      <alignment horizontal="center" vertical="center"/>
    </xf>
    <xf numFmtId="43" fontId="13" fillId="0" borderId="21" xfId="51" applyFont="1" applyFill="1" applyBorder="1" applyAlignment="1">
      <alignment horizontal="center" vertical="center"/>
    </xf>
    <xf numFmtId="43" fontId="9" fillId="0" borderId="22" xfId="51" applyFont="1" applyFill="1" applyBorder="1" applyAlignment="1">
      <alignment horizontal="center" vertical="center"/>
    </xf>
    <xf numFmtId="43" fontId="13" fillId="0" borderId="23" xfId="51" applyFont="1" applyFill="1" applyBorder="1" applyAlignment="1">
      <alignment horizontal="center" vertical="center"/>
    </xf>
    <xf numFmtId="43" fontId="9" fillId="0" borderId="24" xfId="51" applyFont="1" applyFill="1" applyBorder="1" applyAlignment="1">
      <alignment horizontal="center" vertical="center"/>
    </xf>
    <xf numFmtId="0" fontId="9" fillId="0" borderId="25" xfId="53" applyFont="1" applyBorder="1" applyAlignment="1">
      <alignment horizontal="center" vertical="center" wrapText="1"/>
    </xf>
    <xf numFmtId="43" fontId="9" fillId="0" borderId="26" xfId="50" applyFont="1" applyFill="1" applyBorder="1" applyAlignment="1">
      <alignment horizontal="center" vertical="center"/>
    </xf>
    <xf numFmtId="10" fontId="0" fillId="0" borderId="0" xfId="3" applyNumberFormat="1" applyFont="1" applyAlignment="1">
      <alignment vertical="center"/>
    </xf>
    <xf numFmtId="177" fontId="9" fillId="0" borderId="27" xfId="52" applyNumberFormat="1" applyFont="1" applyBorder="1" applyAlignment="1">
      <alignment horizontal="center" vertical="center" shrinkToFit="1"/>
    </xf>
    <xf numFmtId="176" fontId="9" fillId="0" borderId="28" xfId="53" applyNumberFormat="1" applyFont="1" applyBorder="1" applyAlignment="1">
      <alignment horizontal="center" vertical="center"/>
    </xf>
    <xf numFmtId="0" fontId="10" fillId="0" borderId="24" xfId="53" applyFont="1" applyBorder="1" applyAlignment="1">
      <alignment horizontal="center" vertical="center"/>
    </xf>
    <xf numFmtId="43" fontId="10" fillId="0" borderId="29" xfId="50" applyFont="1" applyFill="1" applyBorder="1" applyAlignment="1">
      <alignment horizontal="center" vertical="center"/>
    </xf>
    <xf numFmtId="178" fontId="0" fillId="0" borderId="0" xfId="50" applyNumberFormat="1" applyFont="1" applyFill="1" applyBorder="1" applyAlignment="1">
      <alignment vertical="center"/>
    </xf>
    <xf numFmtId="0" fontId="14" fillId="0" borderId="0" xfId="53" applyFont="1">
      <alignment vertical="center"/>
    </xf>
    <xf numFmtId="0" fontId="15" fillId="0" borderId="0" xfId="53" applyFont="1">
      <alignment vertical="center"/>
    </xf>
    <xf numFmtId="0" fontId="16" fillId="0" borderId="0" xfId="53" applyFont="1">
      <alignment vertical="center"/>
    </xf>
    <xf numFmtId="0" fontId="17" fillId="0" borderId="0" xfId="53" applyFont="1">
      <alignment vertical="center"/>
    </xf>
    <xf numFmtId="4" fontId="16" fillId="0" borderId="0" xfId="53" applyNumberFormat="1" applyFont="1">
      <alignment vertical="center"/>
    </xf>
    <xf numFmtId="4" fontId="0" fillId="0" borderId="0" xfId="53" applyNumberFormat="1">
      <alignment vertical="center"/>
    </xf>
    <xf numFmtId="176" fontId="0" fillId="0" borderId="0" xfId="53" applyNumberFormat="1">
      <alignment vertical="center"/>
    </xf>
    <xf numFmtId="43" fontId="0" fillId="0" borderId="0" xfId="51" applyFont="1">
      <alignment vertical="center"/>
    </xf>
    <xf numFmtId="176" fontId="0" fillId="0" borderId="0" xfId="1" applyFont="1" applyAlignment="1">
      <alignment vertical="center"/>
    </xf>
    <xf numFmtId="0" fontId="10" fillId="0" borderId="24" xfId="53" applyFont="1" applyBorder="1" applyAlignment="1">
      <alignment horizontal="center" vertical="center" shrinkToFit="1"/>
    </xf>
    <xf numFmtId="0" fontId="18" fillId="3" borderId="8" xfId="0" applyFont="1" applyFill="1" applyBorder="1" applyAlignment="1">
      <alignment horizontal="center" vertical="center" wrapText="1"/>
    </xf>
    <xf numFmtId="0" fontId="13" fillId="4" borderId="8" xfId="0" applyFont="1" applyFill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0" fillId="0" borderId="0" xfId="0" applyFill="1" applyBorder="1">
      <alignment vertical="center"/>
    </xf>
    <xf numFmtId="0" fontId="19" fillId="0" borderId="0" xfId="0" applyFont="1" applyFill="1" applyBorder="1">
      <alignment vertical="center"/>
    </xf>
    <xf numFmtId="0" fontId="0" fillId="0" borderId="0" xfId="0" applyFill="1" applyBorder="1">
      <alignment vertical="center"/>
    </xf>
    <xf numFmtId="0" fontId="0" fillId="0" borderId="0" xfId="0" applyFill="1" applyBorder="1">
      <alignment vertical="center"/>
    </xf>
    <xf numFmtId="58" fontId="13" fillId="4" borderId="8" xfId="0" applyNumberFormat="1" applyFont="1" applyFill="1" applyBorder="1" applyAlignment="1">
      <alignment horizontal="center" vertical="center"/>
    </xf>
    <xf numFmtId="0" fontId="9" fillId="0" borderId="0" xfId="0" applyFont="1" applyFill="1" applyBorder="1" applyAlignment="1"/>
    <xf numFmtId="4" fontId="13" fillId="4" borderId="8" xfId="0" applyNumberFormat="1" applyFont="1" applyFill="1" applyBorder="1" applyAlignment="1">
      <alignment horizontal="center" vertical="center"/>
    </xf>
    <xf numFmtId="58" fontId="13" fillId="4" borderId="8" xfId="0" applyNumberFormat="1" applyFont="1" applyFill="1" applyBorder="1" applyAlignment="1">
      <alignment horizontal="left" vertical="center"/>
    </xf>
    <xf numFmtId="176" fontId="13" fillId="4" borderId="8" xfId="1" applyFont="1" applyFill="1" applyBorder="1" applyAlignment="1">
      <alignment horizontal="center" vertical="center"/>
    </xf>
    <xf numFmtId="58" fontId="20" fillId="4" borderId="8" xfId="6" applyNumberFormat="1" applyFill="1" applyBorder="1" applyAlignment="1">
      <alignment horizontal="center" vertical="center"/>
    </xf>
    <xf numFmtId="176" fontId="20" fillId="4" borderId="8" xfId="1" applyFont="1" applyFill="1" applyBorder="1" applyAlignment="1">
      <alignment horizontal="center" vertical="center"/>
    </xf>
    <xf numFmtId="0" fontId="0" fillId="0" borderId="0" xfId="0" applyFill="1" applyBorder="1" applyAlignment="1"/>
    <xf numFmtId="0" fontId="0" fillId="0" borderId="0" xfId="0" applyFont="1" applyFill="1" applyBorder="1">
      <alignment vertical="center"/>
    </xf>
    <xf numFmtId="58" fontId="9" fillId="0" borderId="7" xfId="53" applyNumberFormat="1" applyFont="1" applyBorder="1" applyAlignment="1" quotePrefix="1">
      <alignment horizontal="center" vertical="center"/>
    </xf>
  </cellXfs>
  <cellStyles count="54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  <cellStyle name="Comma 2 2" xfId="50"/>
    <cellStyle name="Comma 3" xfId="51"/>
    <cellStyle name="Normal 2" xfId="52"/>
    <cellStyle name="Normal 2 2" xfId="53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eetMetadata" Target="metadata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2603500</xdr:colOff>
      <xdr:row>1</xdr:row>
      <xdr:rowOff>45085</xdr:rowOff>
    </xdr:from>
    <xdr:to>
      <xdr:col>4</xdr:col>
      <xdr:colOff>952500</xdr:colOff>
      <xdr:row>6</xdr:row>
      <xdr:rowOff>85090</xdr:rowOff>
    </xdr:to>
    <xdr:pic>
      <xdr:nvPicPr>
        <xdr:cNvPr id="2" name="Image 14"/>
        <xdr:cNvPicPr/>
      </xdr:nvPicPr>
      <xdr:blipFill>
        <a:blip r:embed="rId1" cstate="print"/>
        <a:stretch>
          <a:fillRect/>
        </a:stretch>
      </xdr:blipFill>
      <xdr:spPr>
        <a:xfrm>
          <a:off x="4307840" y="108585"/>
          <a:ext cx="2158365" cy="98996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2</xdr:row>
      <xdr:rowOff>45720</xdr:rowOff>
    </xdr:from>
    <xdr:to>
      <xdr:col>5</xdr:col>
      <xdr:colOff>1587500</xdr:colOff>
      <xdr:row>5</xdr:row>
      <xdr:rowOff>25400</xdr:rowOff>
    </xdr:to>
    <xdr:pic>
      <xdr:nvPicPr>
        <xdr:cNvPr id="3" name="Image 13"/>
        <xdr:cNvPicPr/>
      </xdr:nvPicPr>
      <xdr:blipFill>
        <a:blip r:embed="rId2" cstate="print"/>
        <a:stretch>
          <a:fillRect/>
        </a:stretch>
      </xdr:blipFill>
      <xdr:spPr>
        <a:xfrm>
          <a:off x="6854825" y="293370"/>
          <a:ext cx="1587500" cy="532130"/>
        </a:xfrm>
        <a:prstGeom prst="rect">
          <a:avLst/>
        </a:prstGeom>
      </xdr:spPr>
    </xdr:pic>
    <xdr:clientData/>
  </xdr:twoCellAnchor>
  <xdr:twoCellAnchor>
    <xdr:from>
      <xdr:col>0</xdr:col>
      <xdr:colOff>635</xdr:colOff>
      <xdr:row>1</xdr:row>
      <xdr:rowOff>635</xdr:rowOff>
    </xdr:from>
    <xdr:to>
      <xdr:col>3</xdr:col>
      <xdr:colOff>0</xdr:colOff>
      <xdr:row>4</xdr:row>
      <xdr:rowOff>69850</xdr:rowOff>
    </xdr:to>
    <xdr:sp>
      <xdr:nvSpPr>
        <xdr:cNvPr id="4" name="Graphic 10"/>
        <xdr:cNvSpPr/>
      </xdr:nvSpPr>
      <xdr:spPr>
        <a:xfrm>
          <a:off x="635" y="64135"/>
          <a:ext cx="4307205" cy="621665"/>
        </a:xfrm>
        <a:custGeom>
          <a:avLst/>
          <a:gdLst/>
          <a:ahLst/>
          <a:cxnLst/>
          <a:rect l="l" t="t" r="r" b="b"/>
          <a:pathLst>
            <a:path w="3819525" h="617855">
              <a:moveTo>
                <a:pt x="3819411" y="0"/>
              </a:moveTo>
              <a:lnTo>
                <a:pt x="0" y="0"/>
              </a:lnTo>
              <a:lnTo>
                <a:pt x="0" y="617509"/>
              </a:lnTo>
              <a:lnTo>
                <a:pt x="3420941" y="617509"/>
              </a:lnTo>
              <a:lnTo>
                <a:pt x="3819411" y="0"/>
              </a:lnTo>
              <a:close/>
            </a:path>
          </a:pathLst>
        </a:custGeom>
        <a:solidFill>
          <a:srgbClr val="86878A"/>
        </a:solidFill>
      </xdr:spPr>
    </xdr:sp>
    <xdr:clientData/>
  </xdr:twoCellAnchor>
  <xdr:twoCellAnchor>
    <xdr:from>
      <xdr:col>0</xdr:col>
      <xdr:colOff>635</xdr:colOff>
      <xdr:row>1</xdr:row>
      <xdr:rowOff>635</xdr:rowOff>
    </xdr:from>
    <xdr:to>
      <xdr:col>3</xdr:col>
      <xdr:colOff>0</xdr:colOff>
      <xdr:row>4</xdr:row>
      <xdr:rowOff>179070</xdr:rowOff>
    </xdr:to>
    <xdr:sp>
      <xdr:nvSpPr>
        <xdr:cNvPr id="5" name="Graphic 11"/>
        <xdr:cNvSpPr/>
      </xdr:nvSpPr>
      <xdr:spPr>
        <a:xfrm>
          <a:off x="635" y="64135"/>
          <a:ext cx="4307205" cy="730885"/>
        </a:xfrm>
        <a:custGeom>
          <a:avLst/>
          <a:gdLst/>
          <a:ahLst/>
          <a:cxnLst/>
          <a:rect l="l" t="t" r="r" b="b"/>
          <a:pathLst>
            <a:path w="3671570" h="727075">
              <a:moveTo>
                <a:pt x="3671170" y="0"/>
              </a:moveTo>
              <a:lnTo>
                <a:pt x="0" y="0"/>
              </a:lnTo>
              <a:lnTo>
                <a:pt x="0" y="726935"/>
              </a:lnTo>
              <a:lnTo>
                <a:pt x="3202090" y="726935"/>
              </a:lnTo>
              <a:lnTo>
                <a:pt x="3671170" y="0"/>
              </a:lnTo>
              <a:close/>
            </a:path>
          </a:pathLst>
        </a:custGeom>
        <a:solidFill>
          <a:srgbClr val="1E4595"/>
        </a:solidFill>
      </xdr:spPr>
    </xdr:sp>
    <xdr:clientData/>
  </xdr:twoCellAnchor>
  <xdr:twoCellAnchor>
    <xdr:from>
      <xdr:col>0</xdr:col>
      <xdr:colOff>635</xdr:colOff>
      <xdr:row>1</xdr:row>
      <xdr:rowOff>635</xdr:rowOff>
    </xdr:from>
    <xdr:to>
      <xdr:col>7</xdr:col>
      <xdr:colOff>1905</xdr:colOff>
      <xdr:row>5</xdr:row>
      <xdr:rowOff>43180</xdr:rowOff>
    </xdr:to>
    <xdr:sp>
      <xdr:nvSpPr>
        <xdr:cNvPr id="6" name="Graphic 12"/>
        <xdr:cNvSpPr/>
      </xdr:nvSpPr>
      <xdr:spPr>
        <a:xfrm>
          <a:off x="635" y="64135"/>
          <a:ext cx="8888095" cy="779145"/>
        </a:xfrm>
        <a:custGeom>
          <a:avLst/>
          <a:gdLst/>
          <a:ahLst/>
          <a:cxnLst/>
          <a:rect l="l" t="t" r="r" b="b"/>
          <a:pathLst>
            <a:path w="7560309" h="774065">
              <a:moveTo>
                <a:pt x="7559992" y="0"/>
              </a:moveTo>
              <a:lnTo>
                <a:pt x="0" y="0"/>
              </a:lnTo>
              <a:lnTo>
                <a:pt x="0" y="96469"/>
              </a:lnTo>
              <a:lnTo>
                <a:pt x="0" y="773925"/>
              </a:lnTo>
              <a:lnTo>
                <a:pt x="3000044" y="773925"/>
              </a:lnTo>
              <a:lnTo>
                <a:pt x="3437191" y="96469"/>
              </a:lnTo>
              <a:lnTo>
                <a:pt x="7559992" y="96469"/>
              </a:lnTo>
              <a:lnTo>
                <a:pt x="7559992" y="0"/>
              </a:lnTo>
              <a:close/>
            </a:path>
          </a:pathLst>
        </a:custGeom>
        <a:solidFill>
          <a:srgbClr val="1E2867"/>
        </a:solidFill>
      </xdr:spPr>
    </xdr:sp>
    <xdr:clientData/>
  </xdr:twoCellAnchor>
  <xdr:twoCellAnchor>
    <xdr:from>
      <xdr:col>1</xdr:col>
      <xdr:colOff>185420</xdr:colOff>
      <xdr:row>40</xdr:row>
      <xdr:rowOff>62865</xdr:rowOff>
    </xdr:from>
    <xdr:to>
      <xdr:col>2</xdr:col>
      <xdr:colOff>445770</xdr:colOff>
      <xdr:row>46</xdr:row>
      <xdr:rowOff>58420</xdr:rowOff>
    </xdr:to>
    <xdr:sp>
      <xdr:nvSpPr>
        <xdr:cNvPr id="7" name="Text Box 38"/>
        <xdr:cNvSpPr txBox="1"/>
      </xdr:nvSpPr>
      <xdr:spPr>
        <a:xfrm>
          <a:off x="456565" y="7950200"/>
          <a:ext cx="1926590" cy="826135"/>
        </a:xfrm>
        <a:prstGeom prst="rect">
          <a:avLst/>
        </a:prstGeom>
        <a:noFill/>
        <a:ln w="6350">
          <a:noFill/>
        </a:ln>
      </xdr:spPr>
      <xdr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rot="0" spcFirstLastPara="0" vertOverflow="overflow" horzOverflow="overflow" vert="horz" wrap="square" lIns="91440" tIns="45720" rIns="91440" bIns="45720" numCol="1" spcCol="0" rtlCol="0" fromWordArt="0" anchor="t" anchorCtr="0" forceAA="0" compatLnSpc="1">
          <a:noAutofit/>
        </a:bodyPr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050" kern="100">
              <a:latin typeface="Calibri" panose="020F0502020204030204"/>
              <a:ea typeface="SimSun" pitchFamily="7" charset="-122"/>
              <a:cs typeface="Times New Roman" panose="02020603050405020304" pitchFamily="12"/>
              <a:sym typeface="Times New Roman" panose="02020603050405020304" pitchFamily="12"/>
            </a:rPr>
            <a:t>….……………………....</a:t>
          </a:r>
          <a:endParaRPr lang="en-US" altLang="zh-CN" sz="1050" kern="100">
            <a:latin typeface="Calibri" panose="020F0502020204030204"/>
            <a:ea typeface="SimSun" pitchFamily="7" charset="-122"/>
            <a:cs typeface="Times New Roman" panose="02020603050405020304" pitchFamily="12"/>
            <a:sym typeface="Times New Roman" panose="02020603050405020304" pitchFamily="12"/>
          </a:endParaRPr>
        </a:p>
        <a:p>
          <a:pPr algn="ctr"/>
          <a:r>
            <a:rPr lang="en-US" altLang="zh-CN" sz="1050" b="1" kern="100">
              <a:solidFill>
                <a:srgbClr val="002060"/>
              </a:solidFill>
              <a:latin typeface="Calibri" panose="020F0502020204030204"/>
              <a:ea typeface="SimSun" pitchFamily="7" charset="-122"/>
              <a:cs typeface="Times New Roman" panose="02020603050405020304" pitchFamily="12"/>
              <a:sym typeface="Times New Roman" panose="02020603050405020304" pitchFamily="12"/>
            </a:rPr>
            <a:t>Prepared By</a:t>
          </a:r>
          <a:endParaRPr lang="en-US" altLang="zh-CN" sz="1050" b="1" kern="100">
            <a:solidFill>
              <a:srgbClr val="002060"/>
            </a:solidFill>
            <a:latin typeface="Calibri" panose="020F0502020204030204"/>
            <a:ea typeface="SimSun" pitchFamily="7" charset="-122"/>
            <a:cs typeface="Times New Roman" panose="02020603050405020304" pitchFamily="12"/>
            <a:sym typeface="Times New Roman" panose="02020603050405020304" pitchFamily="12"/>
          </a:endParaRPr>
        </a:p>
      </xdr:txBody>
    </xdr:sp>
    <xdr:clientData/>
  </xdr:twoCellAnchor>
  <xdr:twoCellAnchor>
    <xdr:from>
      <xdr:col>0</xdr:col>
      <xdr:colOff>7620</xdr:colOff>
      <xdr:row>47</xdr:row>
      <xdr:rowOff>27940</xdr:rowOff>
    </xdr:from>
    <xdr:to>
      <xdr:col>7</xdr:col>
      <xdr:colOff>7620</xdr:colOff>
      <xdr:row>49</xdr:row>
      <xdr:rowOff>181610</xdr:rowOff>
    </xdr:to>
    <xdr:sp>
      <xdr:nvSpPr>
        <xdr:cNvPr id="8" name="Rectangle 8"/>
        <xdr:cNvSpPr/>
      </xdr:nvSpPr>
      <xdr:spPr>
        <a:xfrm>
          <a:off x="7620" y="8959215"/>
          <a:ext cx="8886825" cy="468630"/>
        </a:xfrm>
        <a:prstGeom prst="rect">
          <a:avLst/>
        </a:prstGeom>
        <a:solidFill>
          <a:srgbClr val="00206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>
    <xdr:from>
      <xdr:col>4</xdr:col>
      <xdr:colOff>1211379</xdr:colOff>
      <xdr:row>47</xdr:row>
      <xdr:rowOff>153232</xdr:rowOff>
    </xdr:from>
    <xdr:to>
      <xdr:col>5</xdr:col>
      <xdr:colOff>172705</xdr:colOff>
      <xdr:row>49</xdr:row>
      <xdr:rowOff>77032</xdr:rowOff>
    </xdr:to>
    <xdr:pic>
      <xdr:nvPicPr>
        <xdr:cNvPr id="9" name="Image 5"/>
        <xdr:cNvPicPr/>
      </xdr:nvPicPr>
      <xdr:blipFill>
        <a:blip r:embed="rId3" cstate="print"/>
        <a:stretch>
          <a:fillRect/>
        </a:stretch>
      </xdr:blipFill>
      <xdr:spPr>
        <a:xfrm>
          <a:off x="6724650" y="9084310"/>
          <a:ext cx="302260" cy="238760"/>
        </a:xfrm>
        <a:prstGeom prst="rect">
          <a:avLst/>
        </a:prstGeom>
      </xdr:spPr>
    </xdr:pic>
    <xdr:clientData/>
  </xdr:twoCellAnchor>
  <xdr:twoCellAnchor>
    <xdr:from>
      <xdr:col>5</xdr:col>
      <xdr:colOff>508000</xdr:colOff>
      <xdr:row>48</xdr:row>
      <xdr:rowOff>0</xdr:rowOff>
    </xdr:from>
    <xdr:to>
      <xdr:col>7</xdr:col>
      <xdr:colOff>177800</xdr:colOff>
      <xdr:row>49</xdr:row>
      <xdr:rowOff>101600</xdr:rowOff>
    </xdr:to>
    <xdr:sp>
      <xdr:nvSpPr>
        <xdr:cNvPr id="10" name="Textbox 8"/>
        <xdr:cNvSpPr txBox="1"/>
      </xdr:nvSpPr>
      <xdr:spPr>
        <a:xfrm>
          <a:off x="7362825" y="9144635"/>
          <a:ext cx="1701800" cy="203200"/>
        </a:xfrm>
        <a:prstGeom prst="rect">
          <a:avLst/>
        </a:prstGeom>
      </xdr:spPr>
      <xdr:txBody>
        <a:bodyPr wrap="square" lIns="0" tIns="0" rIns="0" bIns="0" rtlCol="0">
          <a:noAutofit/>
        </a:bodyPr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ts val="980"/>
            </a:lnSpc>
          </a:pPr>
          <a:r>
            <a:rPr lang="en-US" altLang="zh-CN" sz="1000" b="1" kern="100" spc="-10">
              <a:solidFill>
                <a:srgbClr val="FFFFFF"/>
              </a:solidFill>
              <a:latin typeface="Arial" panose="020B0704020202020204"/>
              <a:ea typeface="SimSun" pitchFamily="7" charset="-122"/>
              <a:cs typeface="Times New Roman" panose="02020603050405020304" pitchFamily="12"/>
              <a:sym typeface="Times New Roman" panose="02020603050405020304" pitchFamily="12"/>
            </a:rPr>
            <a:t>yutong@ncg.lk</a:t>
          </a:r>
          <a:endParaRPr lang="en-US" altLang="zh-CN" sz="1000" b="1" kern="100">
            <a:latin typeface="Arial" panose="020B0704020202020204"/>
            <a:ea typeface="SimSun" pitchFamily="7" charset="-122"/>
            <a:cs typeface="Times New Roman" panose="02020603050405020304" pitchFamily="12"/>
            <a:sym typeface="Times New Roman" panose="02020603050405020304" pitchFamily="12"/>
          </a:endParaRPr>
        </a:p>
      </xdr:txBody>
    </xdr:sp>
    <xdr:clientData/>
  </xdr:twoCellAnchor>
  <xdr:twoCellAnchor>
    <xdr:from>
      <xdr:col>2</xdr:col>
      <xdr:colOff>1450058</xdr:colOff>
      <xdr:row>47</xdr:row>
      <xdr:rowOff>151522</xdr:rowOff>
    </xdr:from>
    <xdr:to>
      <xdr:col>4</xdr:col>
      <xdr:colOff>497558</xdr:colOff>
      <xdr:row>49</xdr:row>
      <xdr:rowOff>77862</xdr:rowOff>
    </xdr:to>
    <xdr:sp>
      <xdr:nvSpPr>
        <xdr:cNvPr id="11" name="Textbox 7"/>
        <xdr:cNvSpPr txBox="1"/>
      </xdr:nvSpPr>
      <xdr:spPr>
        <a:xfrm>
          <a:off x="3387090" y="9082405"/>
          <a:ext cx="2623820" cy="241300"/>
        </a:xfrm>
        <a:prstGeom prst="rect">
          <a:avLst/>
        </a:prstGeom>
      </xdr:spPr>
      <xdr:txBody>
        <a:bodyPr wrap="square" lIns="0" tIns="0" rIns="0" bIns="0" rtlCol="0">
          <a:noAutofit/>
        </a:bodyPr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ts val="980"/>
            </a:lnSpc>
          </a:pPr>
          <a:r>
            <a:rPr lang="en-US" altLang="zh-CN" sz="1000" b="1" kern="100">
              <a:solidFill>
                <a:srgbClr val="FFFFFF"/>
              </a:solidFill>
              <a:latin typeface="Arial" panose="020B0704020202020204"/>
              <a:ea typeface="SimSun" pitchFamily="7" charset="-122"/>
              <a:cs typeface="Times New Roman" panose="02020603050405020304" pitchFamily="12"/>
              <a:sym typeface="Times New Roman" panose="02020603050405020304" pitchFamily="12"/>
            </a:rPr>
            <a:t>157</a:t>
          </a:r>
          <a:r>
            <a:rPr lang="en-US" altLang="zh-CN" sz="1000" b="1" kern="100" spc="-20">
              <a:solidFill>
                <a:srgbClr val="FFFFFF"/>
              </a:solidFill>
              <a:latin typeface="Arial" panose="020B0704020202020204"/>
              <a:ea typeface="SimSun" pitchFamily="7" charset="-122"/>
              <a:cs typeface="Times New Roman" panose="02020603050405020304" pitchFamily="12"/>
              <a:sym typeface="Times New Roman" panose="02020603050405020304" pitchFamily="12"/>
            </a:rPr>
            <a:t> </a:t>
          </a:r>
          <a:r>
            <a:rPr lang="en-US" altLang="zh-CN" sz="1000" b="1" kern="100">
              <a:solidFill>
                <a:srgbClr val="FFFFFF"/>
              </a:solidFill>
              <a:latin typeface="Arial" panose="020B0704020202020204"/>
              <a:ea typeface="SimSun" pitchFamily="7" charset="-122"/>
              <a:cs typeface="Times New Roman" panose="02020603050405020304" pitchFamily="12"/>
              <a:sym typeface="Times New Roman" panose="02020603050405020304" pitchFamily="12"/>
            </a:rPr>
            <a:t>Y, Kabellaowita,</a:t>
          </a:r>
          <a:r>
            <a:rPr lang="en-US" altLang="zh-CN" sz="1000" b="1" kern="100" spc="5">
              <a:solidFill>
                <a:srgbClr val="FFFFFF"/>
              </a:solidFill>
              <a:latin typeface="Arial" panose="020B0704020202020204"/>
              <a:ea typeface="SimSun" pitchFamily="7" charset="-122"/>
              <a:cs typeface="Times New Roman" panose="02020603050405020304" pitchFamily="12"/>
              <a:sym typeface="Times New Roman" panose="02020603050405020304" pitchFamily="12"/>
            </a:rPr>
            <a:t> </a:t>
          </a:r>
          <a:r>
            <a:rPr lang="en-US" altLang="zh-CN" sz="1000" b="1" kern="100">
              <a:solidFill>
                <a:srgbClr val="FFFFFF"/>
              </a:solidFill>
              <a:latin typeface="Arial" panose="020B0704020202020204"/>
              <a:ea typeface="SimSun" pitchFamily="7" charset="-122"/>
              <a:cs typeface="Times New Roman" panose="02020603050405020304" pitchFamily="12"/>
              <a:sym typeface="Times New Roman" panose="02020603050405020304" pitchFamily="12"/>
            </a:rPr>
            <a:t>Weniwelkola, </a:t>
          </a:r>
          <a:r>
            <a:rPr lang="en-US" altLang="zh-CN" sz="1000" b="1" kern="100" spc="-10">
              <a:solidFill>
                <a:srgbClr val="FFFFFF"/>
              </a:solidFill>
              <a:latin typeface="Arial" panose="020B0704020202020204"/>
              <a:ea typeface="SimSun" pitchFamily="7" charset="-122"/>
              <a:cs typeface="Times New Roman" panose="02020603050405020304" pitchFamily="12"/>
              <a:sym typeface="Times New Roman" panose="02020603050405020304" pitchFamily="12"/>
            </a:rPr>
            <a:t>Polgasowita</a:t>
          </a:r>
          <a:endParaRPr lang="en-US" altLang="zh-CN" sz="1000" b="1" kern="100">
            <a:latin typeface="Arial" panose="020B0704020202020204"/>
            <a:ea typeface="SimSun" pitchFamily="7" charset="-122"/>
            <a:cs typeface="Times New Roman" panose="02020603050405020304" pitchFamily="12"/>
            <a:sym typeface="Times New Roman" panose="02020603050405020304" pitchFamily="12"/>
          </a:endParaRPr>
        </a:p>
      </xdr:txBody>
    </xdr:sp>
    <xdr:clientData/>
  </xdr:twoCellAnchor>
  <xdr:twoCellAnchor>
    <xdr:from>
      <xdr:col>2</xdr:col>
      <xdr:colOff>1100936</xdr:colOff>
      <xdr:row>47</xdr:row>
      <xdr:rowOff>166857</xdr:rowOff>
    </xdr:from>
    <xdr:to>
      <xdr:col>2</xdr:col>
      <xdr:colOff>1320392</xdr:colOff>
      <xdr:row>49</xdr:row>
      <xdr:rowOff>89584</xdr:rowOff>
    </xdr:to>
    <xdr:pic>
      <xdr:nvPicPr>
        <xdr:cNvPr id="12" name="Image 4"/>
        <xdr:cNvPicPr/>
      </xdr:nvPicPr>
      <xdr:blipFill>
        <a:blip r:embed="rId4" cstate="print"/>
        <a:stretch>
          <a:fillRect/>
        </a:stretch>
      </xdr:blipFill>
      <xdr:spPr>
        <a:xfrm>
          <a:off x="3037840" y="9097645"/>
          <a:ext cx="219710" cy="238125"/>
        </a:xfrm>
        <a:prstGeom prst="rect">
          <a:avLst/>
        </a:prstGeom>
      </xdr:spPr>
    </xdr:pic>
    <xdr:clientData/>
  </xdr:twoCellAnchor>
  <xdr:twoCellAnchor>
    <xdr:from>
      <xdr:col>1</xdr:col>
      <xdr:colOff>259080</xdr:colOff>
      <xdr:row>47</xdr:row>
      <xdr:rowOff>193040</xdr:rowOff>
    </xdr:from>
    <xdr:to>
      <xdr:col>2</xdr:col>
      <xdr:colOff>0</xdr:colOff>
      <xdr:row>49</xdr:row>
      <xdr:rowOff>35560</xdr:rowOff>
    </xdr:to>
    <xdr:sp>
      <xdr:nvSpPr>
        <xdr:cNvPr id="13" name="Textbox 6"/>
        <xdr:cNvSpPr txBox="1"/>
      </xdr:nvSpPr>
      <xdr:spPr>
        <a:xfrm>
          <a:off x="530225" y="9124315"/>
          <a:ext cx="1407160" cy="157480"/>
        </a:xfrm>
        <a:prstGeom prst="rect">
          <a:avLst/>
        </a:prstGeom>
      </xdr:spPr>
      <xdr:txBody>
        <a:bodyPr wrap="square" lIns="0" tIns="0" rIns="0" bIns="0" rtlCol="0">
          <a:noAutofit/>
        </a:bodyPr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ts val="980"/>
            </a:lnSpc>
          </a:pPr>
          <a:r>
            <a:rPr lang="en-US" altLang="zh-CN" sz="1000" b="1" kern="100" spc="-10">
              <a:solidFill>
                <a:srgbClr val="FFFFFF"/>
              </a:solidFill>
              <a:latin typeface="Arial" panose="020B0704020202020204"/>
              <a:ea typeface="SimSun" pitchFamily="7" charset="-122"/>
              <a:cs typeface="Times New Roman" panose="02020603050405020304" pitchFamily="12"/>
              <a:sym typeface="Times New Roman" panose="02020603050405020304" pitchFamily="12"/>
            </a:rPr>
            <a:t>0770455981</a:t>
          </a:r>
          <a:endParaRPr lang="en-US" altLang="zh-CN" sz="1000" b="1" kern="100">
            <a:latin typeface="Arial" panose="020B0704020202020204"/>
            <a:ea typeface="SimSun" pitchFamily="7" charset="-122"/>
            <a:cs typeface="Times New Roman" panose="02020603050405020304" pitchFamily="12"/>
            <a:sym typeface="Times New Roman" panose="02020603050405020304" pitchFamily="12"/>
          </a:endParaRPr>
        </a:p>
      </xdr:txBody>
    </xdr:sp>
    <xdr:clientData/>
  </xdr:twoCellAnchor>
  <xdr:twoCellAnchor>
    <xdr:from>
      <xdr:col>0</xdr:col>
      <xdr:colOff>182880</xdr:colOff>
      <xdr:row>47</xdr:row>
      <xdr:rowOff>124460</xdr:rowOff>
    </xdr:from>
    <xdr:to>
      <xdr:col>1</xdr:col>
      <xdr:colOff>153084</xdr:colOff>
      <xdr:row>49</xdr:row>
      <xdr:rowOff>47187</xdr:rowOff>
    </xdr:to>
    <xdr:pic>
      <xdr:nvPicPr>
        <xdr:cNvPr id="14" name="Image 3"/>
        <xdr:cNvPicPr/>
      </xdr:nvPicPr>
      <xdr:blipFill>
        <a:blip r:embed="rId5" cstate="print"/>
        <a:stretch>
          <a:fillRect/>
        </a:stretch>
      </xdr:blipFill>
      <xdr:spPr>
        <a:xfrm>
          <a:off x="182880" y="9055735"/>
          <a:ext cx="241300" cy="237490"/>
        </a:xfrm>
        <a:prstGeom prst="rect">
          <a:avLst/>
        </a:prstGeom>
      </xdr:spPr>
    </xdr:pic>
    <xdr:clientData/>
  </xdr:twoCellAnchor>
  <xdr:twoCellAnchor>
    <xdr:from>
      <xdr:col>4</xdr:col>
      <xdr:colOff>697907</xdr:colOff>
      <xdr:row>40</xdr:row>
      <xdr:rowOff>71756</xdr:rowOff>
    </xdr:from>
    <xdr:to>
      <xdr:col>5</xdr:col>
      <xdr:colOff>1008880</xdr:colOff>
      <xdr:row>43</xdr:row>
      <xdr:rowOff>38101</xdr:rowOff>
    </xdr:to>
    <xdr:sp>
      <xdr:nvSpPr>
        <xdr:cNvPr id="15" name="Text Box 39"/>
        <xdr:cNvSpPr txBox="1"/>
      </xdr:nvSpPr>
      <xdr:spPr>
        <a:xfrm>
          <a:off x="6211570" y="7959090"/>
          <a:ext cx="1651635" cy="481965"/>
        </a:xfrm>
        <a:prstGeom prst="rect">
          <a:avLst/>
        </a:prstGeom>
        <a:noFill/>
        <a:ln w="6350">
          <a:noFill/>
        </a:ln>
      </xdr:spPr>
      <xdr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rot="0" spcFirstLastPara="0" vertOverflow="overflow" horzOverflow="overflow" vert="horz" wrap="square" lIns="91440" tIns="45720" rIns="91440" bIns="45720" numCol="1" spcCol="0" rtlCol="0" fromWordArt="0" anchor="t" anchorCtr="0" forceAA="0" compatLnSpc="1">
          <a:noAutofit/>
        </a:bodyPr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zh-CN" sz="1050" kern="100">
              <a:latin typeface="Calibri" panose="020F0502020204030204"/>
              <a:ea typeface="SimSun" pitchFamily="7" charset="-122"/>
              <a:cs typeface="Times New Roman" panose="02020603050405020304" pitchFamily="12"/>
              <a:sym typeface="Times New Roman" panose="02020603050405020304" pitchFamily="12"/>
            </a:rPr>
            <a:t>….……………………………</a:t>
          </a:r>
          <a:endParaRPr lang="en-US" altLang="zh-CN" sz="1050" kern="100">
            <a:latin typeface="Calibri" panose="020F0502020204030204"/>
            <a:ea typeface="SimSun" pitchFamily="7" charset="-122"/>
            <a:cs typeface="Times New Roman" panose="02020603050405020304" pitchFamily="12"/>
            <a:sym typeface="Times New Roman" panose="02020603050405020304" pitchFamily="12"/>
          </a:endParaRPr>
        </a:p>
        <a:p>
          <a:r>
            <a:rPr lang="en-US" altLang="zh-CN" sz="1050" b="1" kern="100" baseline="0">
              <a:solidFill>
                <a:srgbClr val="002060"/>
              </a:solidFill>
              <a:latin typeface="Calibri" panose="020F0502020204030204"/>
              <a:ea typeface="SimSun" pitchFamily="7" charset="-122"/>
              <a:cs typeface="Times New Roman" panose="02020603050405020304" pitchFamily="12"/>
              <a:sym typeface="Times New Roman" panose="02020603050405020304" pitchFamily="12"/>
            </a:rPr>
            <a:t>           </a:t>
          </a:r>
          <a:r>
            <a:rPr lang="en-US" altLang="zh-CN" sz="1050" b="1" kern="100">
              <a:solidFill>
                <a:srgbClr val="002060"/>
              </a:solidFill>
              <a:latin typeface="Calibri" panose="020F0502020204030204"/>
              <a:ea typeface="SimSun" pitchFamily="7" charset="-122"/>
              <a:cs typeface="Times New Roman" panose="02020603050405020304" pitchFamily="12"/>
              <a:sym typeface="Times New Roman" panose="02020603050405020304" pitchFamily="12"/>
            </a:rPr>
            <a:t>Approved By</a:t>
          </a:r>
          <a:endParaRPr lang="en-US" altLang="zh-CN" sz="1050" b="1" kern="100">
            <a:solidFill>
              <a:srgbClr val="002060"/>
            </a:solidFill>
            <a:latin typeface="Calibri" panose="020F0502020204030204"/>
            <a:ea typeface="SimSun" pitchFamily="7" charset="-122"/>
            <a:cs typeface="Times New Roman" panose="02020603050405020304" pitchFamily="12"/>
            <a:sym typeface="Times New Roman" panose="02020603050405020304" pitchFamily="12"/>
          </a:endParaRPr>
        </a:p>
      </xdr:txBody>
    </xdr:sp>
    <xdr:clientData/>
  </xdr:twoCellAnchor>
  <xdr:twoCellAnchor>
    <xdr:from>
      <xdr:col>0</xdr:col>
      <xdr:colOff>149791</xdr:colOff>
      <xdr:row>2</xdr:row>
      <xdr:rowOff>46406</xdr:rowOff>
    </xdr:from>
    <xdr:to>
      <xdr:col>2</xdr:col>
      <xdr:colOff>2170708</xdr:colOff>
      <xdr:row>4</xdr:row>
      <xdr:rowOff>90072</xdr:rowOff>
    </xdr:to>
    <xdr:sp>
      <xdr:nvSpPr>
        <xdr:cNvPr id="16" name="Textbox 15"/>
        <xdr:cNvSpPr txBox="1"/>
      </xdr:nvSpPr>
      <xdr:spPr>
        <a:xfrm>
          <a:off x="149225" y="294005"/>
          <a:ext cx="3958590" cy="411480"/>
        </a:xfrm>
        <a:prstGeom prst="rect">
          <a:avLst/>
        </a:prstGeom>
      </xdr:spPr>
      <xdr:txBody>
        <a:bodyPr wrap="square" lIns="0" tIns="0" rIns="0" bIns="0"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marL="0">
            <a:spcBef>
              <a:spcPts val="500"/>
            </a:spcBef>
          </a:pPr>
          <a:r>
            <a:rPr lang="en-US" altLang="zh-CN" sz="2400" b="1" kern="100" baseline="0">
              <a:ln w="10160">
                <a:solidFill>
                  <a:srgbClr val="4472C4"/>
                </a:solidFill>
                <a:prstDash val="solid"/>
                <a:round/>
              </a:ln>
              <a:solidFill>
                <a:srgbClr val="FFFFFF"/>
              </a:solidFill>
              <a:effectLst>
                <a:glow>
                  <a:srgbClr val="000000"/>
                </a:glow>
                <a:outerShdw blurRad="38100" dist="22860" dir="5400000" algn="tl">
                  <a:srgbClr val="000000">
                    <a:alpha val="30000"/>
                  </a:srgbClr>
                </a:outerShdw>
                <a:reflection stA="0" endPos="0" fadeDir="0" sx="0" sy="0"/>
              </a:effectLst>
              <a:latin typeface="Arial" panose="020B0704020202020204"/>
              <a:ea typeface="SimSun" pitchFamily="7" charset="-122"/>
              <a:cs typeface="Times New Roman" panose="02020603050405020304" pitchFamily="12"/>
              <a:sym typeface="Times New Roman" panose="02020603050405020304" pitchFamily="12"/>
            </a:rPr>
            <a:t>PROFORMA INVOICE</a:t>
          </a:r>
          <a:endParaRPr lang="en-US" altLang="zh-CN" sz="2400" b="1" kern="100" baseline="0">
            <a:ln w="10160">
              <a:solidFill>
                <a:srgbClr val="4472C4"/>
              </a:solidFill>
              <a:prstDash val="solid"/>
              <a:round/>
            </a:ln>
            <a:solidFill>
              <a:srgbClr val="FFFFFF"/>
            </a:solidFill>
            <a:effectLst>
              <a:glow>
                <a:srgbClr val="000000"/>
              </a:glow>
              <a:outerShdw blurRad="38100" dist="22860" dir="5400000" algn="tl">
                <a:srgbClr val="000000">
                  <a:alpha val="30000"/>
                </a:srgbClr>
              </a:outerShdw>
              <a:reflection stA="0" endPos="0" fadeDir="0" sx="0" sy="0"/>
            </a:effectLst>
            <a:latin typeface="Arial" panose="020B0704020202020204"/>
            <a:ea typeface="SimSun" pitchFamily="7" charset="-122"/>
            <a:cs typeface="Times New Roman" panose="02020603050405020304" pitchFamily="12"/>
            <a:sym typeface="Times New Roman" panose="02020603050405020304" pitchFamily="12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2603500</xdr:colOff>
      <xdr:row>1</xdr:row>
      <xdr:rowOff>45085</xdr:rowOff>
    </xdr:from>
    <xdr:to>
      <xdr:col>4</xdr:col>
      <xdr:colOff>952500</xdr:colOff>
      <xdr:row>6</xdr:row>
      <xdr:rowOff>85090</xdr:rowOff>
    </xdr:to>
    <xdr:pic>
      <xdr:nvPicPr>
        <xdr:cNvPr id="2" name="Image 14"/>
        <xdr:cNvPicPr/>
      </xdr:nvPicPr>
      <xdr:blipFill>
        <a:blip r:embed="rId1" cstate="print"/>
        <a:stretch>
          <a:fillRect/>
        </a:stretch>
      </xdr:blipFill>
      <xdr:spPr>
        <a:xfrm>
          <a:off x="4307840" y="108585"/>
          <a:ext cx="2158365" cy="98996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2</xdr:row>
      <xdr:rowOff>45720</xdr:rowOff>
    </xdr:from>
    <xdr:to>
      <xdr:col>5</xdr:col>
      <xdr:colOff>1587500</xdr:colOff>
      <xdr:row>5</xdr:row>
      <xdr:rowOff>25400</xdr:rowOff>
    </xdr:to>
    <xdr:pic>
      <xdr:nvPicPr>
        <xdr:cNvPr id="3" name="Image 13"/>
        <xdr:cNvPicPr/>
      </xdr:nvPicPr>
      <xdr:blipFill>
        <a:blip r:embed="rId2" cstate="print"/>
        <a:stretch>
          <a:fillRect/>
        </a:stretch>
      </xdr:blipFill>
      <xdr:spPr>
        <a:xfrm>
          <a:off x="6854825" y="293370"/>
          <a:ext cx="1587500" cy="532130"/>
        </a:xfrm>
        <a:prstGeom prst="rect">
          <a:avLst/>
        </a:prstGeom>
      </xdr:spPr>
    </xdr:pic>
    <xdr:clientData/>
  </xdr:twoCellAnchor>
  <xdr:twoCellAnchor>
    <xdr:from>
      <xdr:col>0</xdr:col>
      <xdr:colOff>635</xdr:colOff>
      <xdr:row>1</xdr:row>
      <xdr:rowOff>635</xdr:rowOff>
    </xdr:from>
    <xdr:to>
      <xdr:col>3</xdr:col>
      <xdr:colOff>0</xdr:colOff>
      <xdr:row>4</xdr:row>
      <xdr:rowOff>69850</xdr:rowOff>
    </xdr:to>
    <xdr:sp>
      <xdr:nvSpPr>
        <xdr:cNvPr id="4" name="Graphic 10"/>
        <xdr:cNvSpPr/>
      </xdr:nvSpPr>
      <xdr:spPr>
        <a:xfrm>
          <a:off x="635" y="64135"/>
          <a:ext cx="4307205" cy="621665"/>
        </a:xfrm>
        <a:custGeom>
          <a:avLst/>
          <a:gdLst/>
          <a:ahLst/>
          <a:cxnLst/>
          <a:rect l="l" t="t" r="r" b="b"/>
          <a:pathLst>
            <a:path w="3819525" h="617855">
              <a:moveTo>
                <a:pt x="3819411" y="0"/>
              </a:moveTo>
              <a:lnTo>
                <a:pt x="0" y="0"/>
              </a:lnTo>
              <a:lnTo>
                <a:pt x="0" y="617509"/>
              </a:lnTo>
              <a:lnTo>
                <a:pt x="3420941" y="617509"/>
              </a:lnTo>
              <a:lnTo>
                <a:pt x="3819411" y="0"/>
              </a:lnTo>
              <a:close/>
            </a:path>
          </a:pathLst>
        </a:custGeom>
        <a:solidFill>
          <a:srgbClr val="86878A"/>
        </a:solidFill>
      </xdr:spPr>
    </xdr:sp>
    <xdr:clientData/>
  </xdr:twoCellAnchor>
  <xdr:twoCellAnchor>
    <xdr:from>
      <xdr:col>0</xdr:col>
      <xdr:colOff>635</xdr:colOff>
      <xdr:row>1</xdr:row>
      <xdr:rowOff>635</xdr:rowOff>
    </xdr:from>
    <xdr:to>
      <xdr:col>3</xdr:col>
      <xdr:colOff>0</xdr:colOff>
      <xdr:row>4</xdr:row>
      <xdr:rowOff>179070</xdr:rowOff>
    </xdr:to>
    <xdr:sp>
      <xdr:nvSpPr>
        <xdr:cNvPr id="5" name="Graphic 11"/>
        <xdr:cNvSpPr/>
      </xdr:nvSpPr>
      <xdr:spPr>
        <a:xfrm>
          <a:off x="635" y="64135"/>
          <a:ext cx="4307205" cy="730885"/>
        </a:xfrm>
        <a:custGeom>
          <a:avLst/>
          <a:gdLst/>
          <a:ahLst/>
          <a:cxnLst/>
          <a:rect l="l" t="t" r="r" b="b"/>
          <a:pathLst>
            <a:path w="3671570" h="727075">
              <a:moveTo>
                <a:pt x="3671170" y="0"/>
              </a:moveTo>
              <a:lnTo>
                <a:pt x="0" y="0"/>
              </a:lnTo>
              <a:lnTo>
                <a:pt x="0" y="726935"/>
              </a:lnTo>
              <a:lnTo>
                <a:pt x="3202090" y="726935"/>
              </a:lnTo>
              <a:lnTo>
                <a:pt x="3671170" y="0"/>
              </a:lnTo>
              <a:close/>
            </a:path>
          </a:pathLst>
        </a:custGeom>
        <a:solidFill>
          <a:srgbClr val="1E4595"/>
        </a:solidFill>
      </xdr:spPr>
    </xdr:sp>
    <xdr:clientData/>
  </xdr:twoCellAnchor>
  <xdr:twoCellAnchor>
    <xdr:from>
      <xdr:col>0</xdr:col>
      <xdr:colOff>635</xdr:colOff>
      <xdr:row>1</xdr:row>
      <xdr:rowOff>635</xdr:rowOff>
    </xdr:from>
    <xdr:to>
      <xdr:col>7</xdr:col>
      <xdr:colOff>1905</xdr:colOff>
      <xdr:row>5</xdr:row>
      <xdr:rowOff>43180</xdr:rowOff>
    </xdr:to>
    <xdr:sp>
      <xdr:nvSpPr>
        <xdr:cNvPr id="6" name="Graphic 12"/>
        <xdr:cNvSpPr/>
      </xdr:nvSpPr>
      <xdr:spPr>
        <a:xfrm>
          <a:off x="635" y="64135"/>
          <a:ext cx="8888095" cy="779145"/>
        </a:xfrm>
        <a:custGeom>
          <a:avLst/>
          <a:gdLst/>
          <a:ahLst/>
          <a:cxnLst/>
          <a:rect l="l" t="t" r="r" b="b"/>
          <a:pathLst>
            <a:path w="7560309" h="774065">
              <a:moveTo>
                <a:pt x="7559992" y="0"/>
              </a:moveTo>
              <a:lnTo>
                <a:pt x="0" y="0"/>
              </a:lnTo>
              <a:lnTo>
                <a:pt x="0" y="96469"/>
              </a:lnTo>
              <a:lnTo>
                <a:pt x="0" y="773925"/>
              </a:lnTo>
              <a:lnTo>
                <a:pt x="3000044" y="773925"/>
              </a:lnTo>
              <a:lnTo>
                <a:pt x="3437191" y="96469"/>
              </a:lnTo>
              <a:lnTo>
                <a:pt x="7559992" y="96469"/>
              </a:lnTo>
              <a:lnTo>
                <a:pt x="7559992" y="0"/>
              </a:lnTo>
              <a:close/>
            </a:path>
          </a:pathLst>
        </a:custGeom>
        <a:solidFill>
          <a:srgbClr val="1E2867"/>
        </a:solidFill>
      </xdr:spPr>
    </xdr:sp>
    <xdr:clientData/>
  </xdr:twoCellAnchor>
  <xdr:twoCellAnchor>
    <xdr:from>
      <xdr:col>1</xdr:col>
      <xdr:colOff>185420</xdr:colOff>
      <xdr:row>40</xdr:row>
      <xdr:rowOff>62865</xdr:rowOff>
    </xdr:from>
    <xdr:to>
      <xdr:col>2</xdr:col>
      <xdr:colOff>445770</xdr:colOff>
      <xdr:row>46</xdr:row>
      <xdr:rowOff>58420</xdr:rowOff>
    </xdr:to>
    <xdr:sp>
      <xdr:nvSpPr>
        <xdr:cNvPr id="7" name="Text Box 38"/>
        <xdr:cNvSpPr txBox="1"/>
      </xdr:nvSpPr>
      <xdr:spPr>
        <a:xfrm>
          <a:off x="456565" y="7950200"/>
          <a:ext cx="1926590" cy="826135"/>
        </a:xfrm>
        <a:prstGeom prst="rect">
          <a:avLst/>
        </a:prstGeom>
        <a:noFill/>
        <a:ln w="6350">
          <a:noFill/>
        </a:ln>
      </xdr:spPr>
      <xdr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rot="0" spcFirstLastPara="0" vertOverflow="overflow" horzOverflow="overflow" vert="horz" wrap="square" lIns="91440" tIns="45720" rIns="91440" bIns="45720" numCol="1" spcCol="0" rtlCol="0" fromWordArt="0" anchor="t" anchorCtr="0" forceAA="0" compatLnSpc="1">
          <a:noAutofit/>
        </a:bodyPr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050" kern="100">
              <a:latin typeface="Calibri" panose="020F0502020204030204"/>
              <a:ea typeface="SimSun" pitchFamily="7" charset="-122"/>
              <a:cs typeface="Times New Roman" panose="02020603050405020304" pitchFamily="12"/>
              <a:sym typeface="Times New Roman" panose="02020603050405020304" pitchFamily="12"/>
            </a:rPr>
            <a:t>….……………………....</a:t>
          </a:r>
          <a:endParaRPr lang="en-US" altLang="zh-CN" sz="1050" kern="100">
            <a:latin typeface="Calibri" panose="020F0502020204030204"/>
            <a:ea typeface="SimSun" pitchFamily="7" charset="-122"/>
            <a:cs typeface="Times New Roman" panose="02020603050405020304" pitchFamily="12"/>
            <a:sym typeface="Times New Roman" panose="02020603050405020304" pitchFamily="12"/>
          </a:endParaRPr>
        </a:p>
        <a:p>
          <a:pPr algn="ctr"/>
          <a:r>
            <a:rPr lang="en-US" altLang="zh-CN" sz="1050" b="1" kern="100">
              <a:solidFill>
                <a:srgbClr val="002060"/>
              </a:solidFill>
              <a:latin typeface="Calibri" panose="020F0502020204030204"/>
              <a:ea typeface="SimSun" pitchFamily="7" charset="-122"/>
              <a:cs typeface="Times New Roman" panose="02020603050405020304" pitchFamily="12"/>
              <a:sym typeface="Times New Roman" panose="02020603050405020304" pitchFamily="12"/>
            </a:rPr>
            <a:t>Prepared By</a:t>
          </a:r>
          <a:endParaRPr lang="en-US" altLang="zh-CN" sz="1050" b="1" kern="100">
            <a:solidFill>
              <a:srgbClr val="002060"/>
            </a:solidFill>
            <a:latin typeface="Calibri" panose="020F0502020204030204"/>
            <a:ea typeface="SimSun" pitchFamily="7" charset="-122"/>
            <a:cs typeface="Times New Roman" panose="02020603050405020304" pitchFamily="12"/>
            <a:sym typeface="Times New Roman" panose="02020603050405020304" pitchFamily="12"/>
          </a:endParaRPr>
        </a:p>
      </xdr:txBody>
    </xdr:sp>
    <xdr:clientData/>
  </xdr:twoCellAnchor>
  <xdr:twoCellAnchor>
    <xdr:from>
      <xdr:col>0</xdr:col>
      <xdr:colOff>7620</xdr:colOff>
      <xdr:row>47</xdr:row>
      <xdr:rowOff>27940</xdr:rowOff>
    </xdr:from>
    <xdr:to>
      <xdr:col>7</xdr:col>
      <xdr:colOff>7620</xdr:colOff>
      <xdr:row>49</xdr:row>
      <xdr:rowOff>181610</xdr:rowOff>
    </xdr:to>
    <xdr:sp>
      <xdr:nvSpPr>
        <xdr:cNvPr id="8" name="Rectangle 8"/>
        <xdr:cNvSpPr/>
      </xdr:nvSpPr>
      <xdr:spPr>
        <a:xfrm>
          <a:off x="7620" y="8959215"/>
          <a:ext cx="8886825" cy="468630"/>
        </a:xfrm>
        <a:prstGeom prst="rect">
          <a:avLst/>
        </a:prstGeom>
        <a:solidFill>
          <a:srgbClr val="00206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>
    <xdr:from>
      <xdr:col>4</xdr:col>
      <xdr:colOff>1211379</xdr:colOff>
      <xdr:row>47</xdr:row>
      <xdr:rowOff>153232</xdr:rowOff>
    </xdr:from>
    <xdr:to>
      <xdr:col>5</xdr:col>
      <xdr:colOff>172705</xdr:colOff>
      <xdr:row>49</xdr:row>
      <xdr:rowOff>77032</xdr:rowOff>
    </xdr:to>
    <xdr:pic>
      <xdr:nvPicPr>
        <xdr:cNvPr id="9" name="Image 5"/>
        <xdr:cNvPicPr/>
      </xdr:nvPicPr>
      <xdr:blipFill>
        <a:blip r:embed="rId3" cstate="print"/>
        <a:stretch>
          <a:fillRect/>
        </a:stretch>
      </xdr:blipFill>
      <xdr:spPr>
        <a:xfrm>
          <a:off x="6724650" y="9084310"/>
          <a:ext cx="302260" cy="238760"/>
        </a:xfrm>
        <a:prstGeom prst="rect">
          <a:avLst/>
        </a:prstGeom>
      </xdr:spPr>
    </xdr:pic>
    <xdr:clientData/>
  </xdr:twoCellAnchor>
  <xdr:twoCellAnchor>
    <xdr:from>
      <xdr:col>5</xdr:col>
      <xdr:colOff>508000</xdr:colOff>
      <xdr:row>48</xdr:row>
      <xdr:rowOff>0</xdr:rowOff>
    </xdr:from>
    <xdr:to>
      <xdr:col>7</xdr:col>
      <xdr:colOff>177800</xdr:colOff>
      <xdr:row>49</xdr:row>
      <xdr:rowOff>101600</xdr:rowOff>
    </xdr:to>
    <xdr:sp>
      <xdr:nvSpPr>
        <xdr:cNvPr id="10" name="Textbox 8"/>
        <xdr:cNvSpPr txBox="1"/>
      </xdr:nvSpPr>
      <xdr:spPr>
        <a:xfrm>
          <a:off x="7362825" y="9144635"/>
          <a:ext cx="1701800" cy="203200"/>
        </a:xfrm>
        <a:prstGeom prst="rect">
          <a:avLst/>
        </a:prstGeom>
      </xdr:spPr>
      <xdr:txBody>
        <a:bodyPr wrap="square" lIns="0" tIns="0" rIns="0" bIns="0" rtlCol="0">
          <a:noAutofit/>
        </a:bodyPr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ts val="980"/>
            </a:lnSpc>
          </a:pPr>
          <a:r>
            <a:rPr lang="en-US" altLang="zh-CN" sz="1000" b="1" kern="100" spc="-10">
              <a:solidFill>
                <a:srgbClr val="FFFFFF"/>
              </a:solidFill>
              <a:latin typeface="Arial" panose="020B0704020202020204"/>
              <a:ea typeface="SimSun" pitchFamily="7" charset="-122"/>
              <a:cs typeface="Times New Roman" panose="02020603050405020304" pitchFamily="12"/>
              <a:sym typeface="Times New Roman" panose="02020603050405020304" pitchFamily="12"/>
            </a:rPr>
            <a:t>yutong@ncg.lk</a:t>
          </a:r>
          <a:endParaRPr lang="en-US" altLang="zh-CN" sz="1000" b="1" kern="100">
            <a:latin typeface="Arial" panose="020B0704020202020204"/>
            <a:ea typeface="SimSun" pitchFamily="7" charset="-122"/>
            <a:cs typeface="Times New Roman" panose="02020603050405020304" pitchFamily="12"/>
            <a:sym typeface="Times New Roman" panose="02020603050405020304" pitchFamily="12"/>
          </a:endParaRPr>
        </a:p>
      </xdr:txBody>
    </xdr:sp>
    <xdr:clientData/>
  </xdr:twoCellAnchor>
  <xdr:twoCellAnchor>
    <xdr:from>
      <xdr:col>2</xdr:col>
      <xdr:colOff>1450058</xdr:colOff>
      <xdr:row>47</xdr:row>
      <xdr:rowOff>151522</xdr:rowOff>
    </xdr:from>
    <xdr:to>
      <xdr:col>4</xdr:col>
      <xdr:colOff>497558</xdr:colOff>
      <xdr:row>49</xdr:row>
      <xdr:rowOff>77862</xdr:rowOff>
    </xdr:to>
    <xdr:sp>
      <xdr:nvSpPr>
        <xdr:cNvPr id="11" name="Textbox 7"/>
        <xdr:cNvSpPr txBox="1"/>
      </xdr:nvSpPr>
      <xdr:spPr>
        <a:xfrm>
          <a:off x="3387090" y="9082405"/>
          <a:ext cx="2623820" cy="241300"/>
        </a:xfrm>
        <a:prstGeom prst="rect">
          <a:avLst/>
        </a:prstGeom>
      </xdr:spPr>
      <xdr:txBody>
        <a:bodyPr wrap="square" lIns="0" tIns="0" rIns="0" bIns="0" rtlCol="0">
          <a:noAutofit/>
        </a:bodyPr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ts val="980"/>
            </a:lnSpc>
          </a:pPr>
          <a:r>
            <a:rPr lang="en-US" altLang="zh-CN" sz="1000" b="1" kern="100">
              <a:solidFill>
                <a:srgbClr val="FFFFFF"/>
              </a:solidFill>
              <a:latin typeface="Arial" panose="020B0704020202020204"/>
              <a:ea typeface="SimSun" pitchFamily="7" charset="-122"/>
              <a:cs typeface="Times New Roman" panose="02020603050405020304" pitchFamily="12"/>
              <a:sym typeface="Times New Roman" panose="02020603050405020304" pitchFamily="12"/>
            </a:rPr>
            <a:t>157</a:t>
          </a:r>
          <a:r>
            <a:rPr lang="en-US" altLang="zh-CN" sz="1000" b="1" kern="100" spc="-20">
              <a:solidFill>
                <a:srgbClr val="FFFFFF"/>
              </a:solidFill>
              <a:latin typeface="Arial" panose="020B0704020202020204"/>
              <a:ea typeface="SimSun" pitchFamily="7" charset="-122"/>
              <a:cs typeface="Times New Roman" panose="02020603050405020304" pitchFamily="12"/>
              <a:sym typeface="Times New Roman" panose="02020603050405020304" pitchFamily="12"/>
            </a:rPr>
            <a:t> </a:t>
          </a:r>
          <a:r>
            <a:rPr lang="en-US" altLang="zh-CN" sz="1000" b="1" kern="100">
              <a:solidFill>
                <a:srgbClr val="FFFFFF"/>
              </a:solidFill>
              <a:latin typeface="Arial" panose="020B0704020202020204"/>
              <a:ea typeface="SimSun" pitchFamily="7" charset="-122"/>
              <a:cs typeface="Times New Roman" panose="02020603050405020304" pitchFamily="12"/>
              <a:sym typeface="Times New Roman" panose="02020603050405020304" pitchFamily="12"/>
            </a:rPr>
            <a:t>Y, Kabellaowita,</a:t>
          </a:r>
          <a:r>
            <a:rPr lang="en-US" altLang="zh-CN" sz="1000" b="1" kern="100" spc="5">
              <a:solidFill>
                <a:srgbClr val="FFFFFF"/>
              </a:solidFill>
              <a:latin typeface="Arial" panose="020B0704020202020204"/>
              <a:ea typeface="SimSun" pitchFamily="7" charset="-122"/>
              <a:cs typeface="Times New Roman" panose="02020603050405020304" pitchFamily="12"/>
              <a:sym typeface="Times New Roman" panose="02020603050405020304" pitchFamily="12"/>
            </a:rPr>
            <a:t> </a:t>
          </a:r>
          <a:r>
            <a:rPr lang="en-US" altLang="zh-CN" sz="1000" b="1" kern="100">
              <a:solidFill>
                <a:srgbClr val="FFFFFF"/>
              </a:solidFill>
              <a:latin typeface="Arial" panose="020B0704020202020204"/>
              <a:ea typeface="SimSun" pitchFamily="7" charset="-122"/>
              <a:cs typeface="Times New Roman" panose="02020603050405020304" pitchFamily="12"/>
              <a:sym typeface="Times New Roman" panose="02020603050405020304" pitchFamily="12"/>
            </a:rPr>
            <a:t>Weniwelkola, </a:t>
          </a:r>
          <a:r>
            <a:rPr lang="en-US" altLang="zh-CN" sz="1000" b="1" kern="100" spc="-10">
              <a:solidFill>
                <a:srgbClr val="FFFFFF"/>
              </a:solidFill>
              <a:latin typeface="Arial" panose="020B0704020202020204"/>
              <a:ea typeface="SimSun" pitchFamily="7" charset="-122"/>
              <a:cs typeface="Times New Roman" panose="02020603050405020304" pitchFamily="12"/>
              <a:sym typeface="Times New Roman" panose="02020603050405020304" pitchFamily="12"/>
            </a:rPr>
            <a:t>Polgasowita</a:t>
          </a:r>
          <a:endParaRPr lang="en-US" altLang="zh-CN" sz="1000" b="1" kern="100">
            <a:latin typeface="Arial" panose="020B0704020202020204"/>
            <a:ea typeface="SimSun" pitchFamily="7" charset="-122"/>
            <a:cs typeface="Times New Roman" panose="02020603050405020304" pitchFamily="12"/>
            <a:sym typeface="Times New Roman" panose="02020603050405020304" pitchFamily="12"/>
          </a:endParaRPr>
        </a:p>
      </xdr:txBody>
    </xdr:sp>
    <xdr:clientData/>
  </xdr:twoCellAnchor>
  <xdr:twoCellAnchor>
    <xdr:from>
      <xdr:col>2</xdr:col>
      <xdr:colOff>1100936</xdr:colOff>
      <xdr:row>47</xdr:row>
      <xdr:rowOff>166857</xdr:rowOff>
    </xdr:from>
    <xdr:to>
      <xdr:col>2</xdr:col>
      <xdr:colOff>1320392</xdr:colOff>
      <xdr:row>49</xdr:row>
      <xdr:rowOff>89584</xdr:rowOff>
    </xdr:to>
    <xdr:pic>
      <xdr:nvPicPr>
        <xdr:cNvPr id="12" name="Image 4"/>
        <xdr:cNvPicPr/>
      </xdr:nvPicPr>
      <xdr:blipFill>
        <a:blip r:embed="rId4" cstate="print"/>
        <a:stretch>
          <a:fillRect/>
        </a:stretch>
      </xdr:blipFill>
      <xdr:spPr>
        <a:xfrm>
          <a:off x="3037840" y="9097645"/>
          <a:ext cx="219710" cy="238125"/>
        </a:xfrm>
        <a:prstGeom prst="rect">
          <a:avLst/>
        </a:prstGeom>
      </xdr:spPr>
    </xdr:pic>
    <xdr:clientData/>
  </xdr:twoCellAnchor>
  <xdr:twoCellAnchor>
    <xdr:from>
      <xdr:col>1</xdr:col>
      <xdr:colOff>259080</xdr:colOff>
      <xdr:row>47</xdr:row>
      <xdr:rowOff>193040</xdr:rowOff>
    </xdr:from>
    <xdr:to>
      <xdr:col>2</xdr:col>
      <xdr:colOff>0</xdr:colOff>
      <xdr:row>49</xdr:row>
      <xdr:rowOff>35560</xdr:rowOff>
    </xdr:to>
    <xdr:sp>
      <xdr:nvSpPr>
        <xdr:cNvPr id="13" name="Textbox 6"/>
        <xdr:cNvSpPr txBox="1"/>
      </xdr:nvSpPr>
      <xdr:spPr>
        <a:xfrm>
          <a:off x="530225" y="9124315"/>
          <a:ext cx="1407160" cy="157480"/>
        </a:xfrm>
        <a:prstGeom prst="rect">
          <a:avLst/>
        </a:prstGeom>
      </xdr:spPr>
      <xdr:txBody>
        <a:bodyPr wrap="square" lIns="0" tIns="0" rIns="0" bIns="0" rtlCol="0">
          <a:noAutofit/>
        </a:bodyPr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ts val="980"/>
            </a:lnSpc>
          </a:pPr>
          <a:r>
            <a:rPr lang="en-US" altLang="zh-CN" sz="1000" b="1" kern="100" spc="-10">
              <a:solidFill>
                <a:srgbClr val="FFFFFF"/>
              </a:solidFill>
              <a:latin typeface="Arial" panose="020B0704020202020204"/>
              <a:ea typeface="SimSun" pitchFamily="7" charset="-122"/>
              <a:cs typeface="Times New Roman" panose="02020603050405020304" pitchFamily="12"/>
              <a:sym typeface="Times New Roman" panose="02020603050405020304" pitchFamily="12"/>
            </a:rPr>
            <a:t>0770455981</a:t>
          </a:r>
          <a:endParaRPr lang="en-US" altLang="zh-CN" sz="1000" b="1" kern="100">
            <a:latin typeface="Arial" panose="020B0704020202020204"/>
            <a:ea typeface="SimSun" pitchFamily="7" charset="-122"/>
            <a:cs typeface="Times New Roman" panose="02020603050405020304" pitchFamily="12"/>
            <a:sym typeface="Times New Roman" panose="02020603050405020304" pitchFamily="12"/>
          </a:endParaRPr>
        </a:p>
      </xdr:txBody>
    </xdr:sp>
    <xdr:clientData/>
  </xdr:twoCellAnchor>
  <xdr:twoCellAnchor>
    <xdr:from>
      <xdr:col>0</xdr:col>
      <xdr:colOff>182880</xdr:colOff>
      <xdr:row>47</xdr:row>
      <xdr:rowOff>124460</xdr:rowOff>
    </xdr:from>
    <xdr:to>
      <xdr:col>1</xdr:col>
      <xdr:colOff>153084</xdr:colOff>
      <xdr:row>49</xdr:row>
      <xdr:rowOff>47187</xdr:rowOff>
    </xdr:to>
    <xdr:pic>
      <xdr:nvPicPr>
        <xdr:cNvPr id="14" name="Image 3"/>
        <xdr:cNvPicPr/>
      </xdr:nvPicPr>
      <xdr:blipFill>
        <a:blip r:embed="rId5" cstate="print"/>
        <a:stretch>
          <a:fillRect/>
        </a:stretch>
      </xdr:blipFill>
      <xdr:spPr>
        <a:xfrm>
          <a:off x="182880" y="9055735"/>
          <a:ext cx="241300" cy="237490"/>
        </a:xfrm>
        <a:prstGeom prst="rect">
          <a:avLst/>
        </a:prstGeom>
      </xdr:spPr>
    </xdr:pic>
    <xdr:clientData/>
  </xdr:twoCellAnchor>
  <xdr:twoCellAnchor>
    <xdr:from>
      <xdr:col>4</xdr:col>
      <xdr:colOff>697907</xdr:colOff>
      <xdr:row>40</xdr:row>
      <xdr:rowOff>71756</xdr:rowOff>
    </xdr:from>
    <xdr:to>
      <xdr:col>5</xdr:col>
      <xdr:colOff>1008880</xdr:colOff>
      <xdr:row>43</xdr:row>
      <xdr:rowOff>38101</xdr:rowOff>
    </xdr:to>
    <xdr:sp>
      <xdr:nvSpPr>
        <xdr:cNvPr id="15" name="Text Box 39"/>
        <xdr:cNvSpPr txBox="1"/>
      </xdr:nvSpPr>
      <xdr:spPr>
        <a:xfrm>
          <a:off x="6211570" y="7959090"/>
          <a:ext cx="1651635" cy="481965"/>
        </a:xfrm>
        <a:prstGeom prst="rect">
          <a:avLst/>
        </a:prstGeom>
        <a:noFill/>
        <a:ln w="6350">
          <a:noFill/>
        </a:ln>
      </xdr:spPr>
      <xdr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rot="0" spcFirstLastPara="0" vertOverflow="overflow" horzOverflow="overflow" vert="horz" wrap="square" lIns="91440" tIns="45720" rIns="91440" bIns="45720" numCol="1" spcCol="0" rtlCol="0" fromWordArt="0" anchor="t" anchorCtr="0" forceAA="0" compatLnSpc="1">
          <a:noAutofit/>
        </a:bodyPr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zh-CN" sz="1050" kern="100">
              <a:latin typeface="Calibri" panose="020F0502020204030204"/>
              <a:ea typeface="SimSun" pitchFamily="7" charset="-122"/>
              <a:cs typeface="Times New Roman" panose="02020603050405020304" pitchFamily="12"/>
              <a:sym typeface="Times New Roman" panose="02020603050405020304" pitchFamily="12"/>
            </a:rPr>
            <a:t>….……………………………</a:t>
          </a:r>
          <a:endParaRPr lang="en-US" altLang="zh-CN" sz="1050" kern="100">
            <a:latin typeface="Calibri" panose="020F0502020204030204"/>
            <a:ea typeface="SimSun" pitchFamily="7" charset="-122"/>
            <a:cs typeface="Times New Roman" panose="02020603050405020304" pitchFamily="12"/>
            <a:sym typeface="Times New Roman" panose="02020603050405020304" pitchFamily="12"/>
          </a:endParaRPr>
        </a:p>
        <a:p>
          <a:r>
            <a:rPr lang="en-US" altLang="zh-CN" sz="1050" b="1" kern="100" baseline="0">
              <a:solidFill>
                <a:srgbClr val="002060"/>
              </a:solidFill>
              <a:latin typeface="Calibri" panose="020F0502020204030204"/>
              <a:ea typeface="SimSun" pitchFamily="7" charset="-122"/>
              <a:cs typeface="Times New Roman" panose="02020603050405020304" pitchFamily="12"/>
              <a:sym typeface="Times New Roman" panose="02020603050405020304" pitchFamily="12"/>
            </a:rPr>
            <a:t>           </a:t>
          </a:r>
          <a:r>
            <a:rPr lang="en-US" altLang="zh-CN" sz="1050" b="1" kern="100">
              <a:solidFill>
                <a:srgbClr val="002060"/>
              </a:solidFill>
              <a:latin typeface="Calibri" panose="020F0502020204030204"/>
              <a:ea typeface="SimSun" pitchFamily="7" charset="-122"/>
              <a:cs typeface="Times New Roman" panose="02020603050405020304" pitchFamily="12"/>
              <a:sym typeface="Times New Roman" panose="02020603050405020304" pitchFamily="12"/>
            </a:rPr>
            <a:t>Approved By</a:t>
          </a:r>
          <a:endParaRPr lang="en-US" altLang="zh-CN" sz="1050" b="1" kern="100">
            <a:solidFill>
              <a:srgbClr val="002060"/>
            </a:solidFill>
            <a:latin typeface="Calibri" panose="020F0502020204030204"/>
            <a:ea typeface="SimSun" pitchFamily="7" charset="-122"/>
            <a:cs typeface="Times New Roman" panose="02020603050405020304" pitchFamily="12"/>
            <a:sym typeface="Times New Roman" panose="02020603050405020304" pitchFamily="12"/>
          </a:endParaRPr>
        </a:p>
      </xdr:txBody>
    </xdr:sp>
    <xdr:clientData/>
  </xdr:twoCellAnchor>
  <xdr:twoCellAnchor>
    <xdr:from>
      <xdr:col>0</xdr:col>
      <xdr:colOff>149791</xdr:colOff>
      <xdr:row>2</xdr:row>
      <xdr:rowOff>46406</xdr:rowOff>
    </xdr:from>
    <xdr:to>
      <xdr:col>2</xdr:col>
      <xdr:colOff>891702</xdr:colOff>
      <xdr:row>4</xdr:row>
      <xdr:rowOff>144114</xdr:rowOff>
    </xdr:to>
    <xdr:sp>
      <xdr:nvSpPr>
        <xdr:cNvPr id="16" name="Textbox 15"/>
        <xdr:cNvSpPr txBox="1"/>
      </xdr:nvSpPr>
      <xdr:spPr>
        <a:xfrm>
          <a:off x="149225" y="294005"/>
          <a:ext cx="2679700" cy="465455"/>
        </a:xfrm>
        <a:prstGeom prst="rect">
          <a:avLst/>
        </a:prstGeom>
      </xdr:spPr>
      <xdr:txBody>
        <a:bodyPr wrap="square" lIns="0" tIns="0" rIns="0" bIns="0"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marL="0">
            <a:spcBef>
              <a:spcPts val="500"/>
            </a:spcBef>
          </a:pPr>
          <a:r>
            <a:rPr lang="en-US" altLang="zh-CN" sz="3200" b="1" kern="100" baseline="0">
              <a:ln w="10160">
                <a:solidFill>
                  <a:srgbClr val="4472C4"/>
                </a:solidFill>
                <a:prstDash val="solid"/>
                <a:round/>
              </a:ln>
              <a:solidFill>
                <a:srgbClr val="FFFFFF"/>
              </a:solidFill>
              <a:effectLst>
                <a:glow>
                  <a:srgbClr val="000000"/>
                </a:glow>
                <a:outerShdw blurRad="38100" dist="22860" dir="5400000" algn="tl">
                  <a:srgbClr val="000000">
                    <a:alpha val="30000"/>
                  </a:srgbClr>
                </a:outerShdw>
                <a:reflection stA="0" endPos="0" fadeDir="0" sx="0" sy="0"/>
              </a:effectLst>
              <a:latin typeface="Arial" panose="020B0704020202020204"/>
              <a:ea typeface="SimSun" pitchFamily="7" charset="-122"/>
              <a:cs typeface="Times New Roman" panose="02020603050405020304" pitchFamily="12"/>
              <a:sym typeface="Times New Roman" panose="02020603050405020304" pitchFamily="12"/>
            </a:rPr>
            <a:t>INVOICE</a:t>
          </a:r>
          <a:endParaRPr lang="en-US" altLang="zh-CN" sz="2400" b="1" kern="100" baseline="0">
            <a:ln w="10160">
              <a:solidFill>
                <a:srgbClr val="4472C4"/>
              </a:solidFill>
              <a:prstDash val="solid"/>
              <a:round/>
            </a:ln>
            <a:solidFill>
              <a:srgbClr val="FFFFFF"/>
            </a:solidFill>
            <a:effectLst>
              <a:glow>
                <a:srgbClr val="000000"/>
              </a:glow>
              <a:outerShdw blurRad="38100" dist="22860" dir="5400000" algn="tl">
                <a:srgbClr val="000000">
                  <a:alpha val="30000"/>
                </a:srgbClr>
              </a:outerShdw>
              <a:reflection stA="0" endPos="0" fadeDir="0" sx="0" sy="0"/>
            </a:effectLst>
            <a:latin typeface="Arial" panose="020B0704020202020204"/>
            <a:ea typeface="SimSun" pitchFamily="7" charset="-122"/>
            <a:cs typeface="Times New Roman" panose="02020603050405020304" pitchFamily="12"/>
            <a:sym typeface="Times New Roman" panose="02020603050405020304" pitchFamily="12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2603500</xdr:colOff>
      <xdr:row>1</xdr:row>
      <xdr:rowOff>45085</xdr:rowOff>
    </xdr:from>
    <xdr:to>
      <xdr:col>4</xdr:col>
      <xdr:colOff>952500</xdr:colOff>
      <xdr:row>6</xdr:row>
      <xdr:rowOff>85090</xdr:rowOff>
    </xdr:to>
    <xdr:pic>
      <xdr:nvPicPr>
        <xdr:cNvPr id="2" name="Image 14"/>
        <xdr:cNvPicPr/>
      </xdr:nvPicPr>
      <xdr:blipFill>
        <a:blip r:embed="rId1" cstate="print"/>
        <a:stretch>
          <a:fillRect/>
        </a:stretch>
      </xdr:blipFill>
      <xdr:spPr>
        <a:xfrm>
          <a:off x="4307840" y="108585"/>
          <a:ext cx="2158365" cy="98996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2</xdr:row>
      <xdr:rowOff>45720</xdr:rowOff>
    </xdr:from>
    <xdr:to>
      <xdr:col>5</xdr:col>
      <xdr:colOff>1587500</xdr:colOff>
      <xdr:row>5</xdr:row>
      <xdr:rowOff>25400</xdr:rowOff>
    </xdr:to>
    <xdr:pic>
      <xdr:nvPicPr>
        <xdr:cNvPr id="3" name="Image 13"/>
        <xdr:cNvPicPr/>
      </xdr:nvPicPr>
      <xdr:blipFill>
        <a:blip r:embed="rId2" cstate="print"/>
        <a:stretch>
          <a:fillRect/>
        </a:stretch>
      </xdr:blipFill>
      <xdr:spPr>
        <a:xfrm>
          <a:off x="6854825" y="293370"/>
          <a:ext cx="1587500" cy="532130"/>
        </a:xfrm>
        <a:prstGeom prst="rect">
          <a:avLst/>
        </a:prstGeom>
      </xdr:spPr>
    </xdr:pic>
    <xdr:clientData/>
  </xdr:twoCellAnchor>
  <xdr:twoCellAnchor>
    <xdr:from>
      <xdr:col>0</xdr:col>
      <xdr:colOff>635</xdr:colOff>
      <xdr:row>1</xdr:row>
      <xdr:rowOff>635</xdr:rowOff>
    </xdr:from>
    <xdr:to>
      <xdr:col>3</xdr:col>
      <xdr:colOff>0</xdr:colOff>
      <xdr:row>4</xdr:row>
      <xdr:rowOff>69850</xdr:rowOff>
    </xdr:to>
    <xdr:sp>
      <xdr:nvSpPr>
        <xdr:cNvPr id="4" name="Graphic 10"/>
        <xdr:cNvSpPr/>
      </xdr:nvSpPr>
      <xdr:spPr>
        <a:xfrm>
          <a:off x="635" y="64135"/>
          <a:ext cx="4307205" cy="621665"/>
        </a:xfrm>
        <a:custGeom>
          <a:avLst/>
          <a:gdLst/>
          <a:ahLst/>
          <a:cxnLst/>
          <a:rect l="l" t="t" r="r" b="b"/>
          <a:pathLst>
            <a:path w="3819525" h="617855">
              <a:moveTo>
                <a:pt x="3819411" y="0"/>
              </a:moveTo>
              <a:lnTo>
                <a:pt x="0" y="0"/>
              </a:lnTo>
              <a:lnTo>
                <a:pt x="0" y="617509"/>
              </a:lnTo>
              <a:lnTo>
                <a:pt x="3420941" y="617509"/>
              </a:lnTo>
              <a:lnTo>
                <a:pt x="3819411" y="0"/>
              </a:lnTo>
              <a:close/>
            </a:path>
          </a:pathLst>
        </a:custGeom>
        <a:solidFill>
          <a:srgbClr val="86878A"/>
        </a:solidFill>
      </xdr:spPr>
    </xdr:sp>
    <xdr:clientData/>
  </xdr:twoCellAnchor>
  <xdr:twoCellAnchor>
    <xdr:from>
      <xdr:col>0</xdr:col>
      <xdr:colOff>635</xdr:colOff>
      <xdr:row>1</xdr:row>
      <xdr:rowOff>635</xdr:rowOff>
    </xdr:from>
    <xdr:to>
      <xdr:col>3</xdr:col>
      <xdr:colOff>0</xdr:colOff>
      <xdr:row>4</xdr:row>
      <xdr:rowOff>179070</xdr:rowOff>
    </xdr:to>
    <xdr:sp>
      <xdr:nvSpPr>
        <xdr:cNvPr id="5" name="Graphic 11"/>
        <xdr:cNvSpPr/>
      </xdr:nvSpPr>
      <xdr:spPr>
        <a:xfrm>
          <a:off x="635" y="64135"/>
          <a:ext cx="4307205" cy="730885"/>
        </a:xfrm>
        <a:custGeom>
          <a:avLst/>
          <a:gdLst/>
          <a:ahLst/>
          <a:cxnLst/>
          <a:rect l="l" t="t" r="r" b="b"/>
          <a:pathLst>
            <a:path w="3671570" h="727075">
              <a:moveTo>
                <a:pt x="3671170" y="0"/>
              </a:moveTo>
              <a:lnTo>
                <a:pt x="0" y="0"/>
              </a:lnTo>
              <a:lnTo>
                <a:pt x="0" y="726935"/>
              </a:lnTo>
              <a:lnTo>
                <a:pt x="3202090" y="726935"/>
              </a:lnTo>
              <a:lnTo>
                <a:pt x="3671170" y="0"/>
              </a:lnTo>
              <a:close/>
            </a:path>
          </a:pathLst>
        </a:custGeom>
        <a:solidFill>
          <a:srgbClr val="1E4595"/>
        </a:solidFill>
      </xdr:spPr>
    </xdr:sp>
    <xdr:clientData/>
  </xdr:twoCellAnchor>
  <xdr:twoCellAnchor>
    <xdr:from>
      <xdr:col>0</xdr:col>
      <xdr:colOff>635</xdr:colOff>
      <xdr:row>1</xdr:row>
      <xdr:rowOff>635</xdr:rowOff>
    </xdr:from>
    <xdr:to>
      <xdr:col>7</xdr:col>
      <xdr:colOff>1905</xdr:colOff>
      <xdr:row>5</xdr:row>
      <xdr:rowOff>43180</xdr:rowOff>
    </xdr:to>
    <xdr:sp>
      <xdr:nvSpPr>
        <xdr:cNvPr id="6" name="Graphic 12"/>
        <xdr:cNvSpPr/>
      </xdr:nvSpPr>
      <xdr:spPr>
        <a:xfrm>
          <a:off x="635" y="64135"/>
          <a:ext cx="8888095" cy="779145"/>
        </a:xfrm>
        <a:custGeom>
          <a:avLst/>
          <a:gdLst/>
          <a:ahLst/>
          <a:cxnLst/>
          <a:rect l="l" t="t" r="r" b="b"/>
          <a:pathLst>
            <a:path w="7560309" h="774065">
              <a:moveTo>
                <a:pt x="7559992" y="0"/>
              </a:moveTo>
              <a:lnTo>
                <a:pt x="0" y="0"/>
              </a:lnTo>
              <a:lnTo>
                <a:pt x="0" y="96469"/>
              </a:lnTo>
              <a:lnTo>
                <a:pt x="0" y="773925"/>
              </a:lnTo>
              <a:lnTo>
                <a:pt x="3000044" y="773925"/>
              </a:lnTo>
              <a:lnTo>
                <a:pt x="3437191" y="96469"/>
              </a:lnTo>
              <a:lnTo>
                <a:pt x="7559992" y="96469"/>
              </a:lnTo>
              <a:lnTo>
                <a:pt x="7559992" y="0"/>
              </a:lnTo>
              <a:close/>
            </a:path>
          </a:pathLst>
        </a:custGeom>
        <a:solidFill>
          <a:srgbClr val="1E2867"/>
        </a:solidFill>
      </xdr:spPr>
    </xdr:sp>
    <xdr:clientData/>
  </xdr:twoCellAnchor>
  <xdr:twoCellAnchor>
    <xdr:from>
      <xdr:col>1</xdr:col>
      <xdr:colOff>185420</xdr:colOff>
      <xdr:row>40</xdr:row>
      <xdr:rowOff>62865</xdr:rowOff>
    </xdr:from>
    <xdr:to>
      <xdr:col>2</xdr:col>
      <xdr:colOff>445770</xdr:colOff>
      <xdr:row>46</xdr:row>
      <xdr:rowOff>58420</xdr:rowOff>
    </xdr:to>
    <xdr:sp>
      <xdr:nvSpPr>
        <xdr:cNvPr id="7" name="Text Box 38"/>
        <xdr:cNvSpPr txBox="1"/>
      </xdr:nvSpPr>
      <xdr:spPr>
        <a:xfrm>
          <a:off x="456565" y="7950200"/>
          <a:ext cx="1926590" cy="826135"/>
        </a:xfrm>
        <a:prstGeom prst="rect">
          <a:avLst/>
        </a:prstGeom>
        <a:noFill/>
        <a:ln w="6350">
          <a:noFill/>
        </a:ln>
      </xdr:spPr>
      <xdr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rot="0" spcFirstLastPara="0" vertOverflow="overflow" horzOverflow="overflow" vert="horz" wrap="square" lIns="91440" tIns="45720" rIns="91440" bIns="45720" numCol="1" spcCol="0" rtlCol="0" fromWordArt="0" anchor="t" anchorCtr="0" forceAA="0" compatLnSpc="1">
          <a:noAutofit/>
        </a:bodyPr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050" kern="100">
              <a:latin typeface="Calibri" panose="020F0502020204030204"/>
              <a:ea typeface="SimSun" pitchFamily="7" charset="-122"/>
              <a:cs typeface="Times New Roman" panose="02020603050405020304" pitchFamily="12"/>
              <a:sym typeface="Times New Roman" panose="02020603050405020304" pitchFamily="12"/>
            </a:rPr>
            <a:t>….……………………....</a:t>
          </a:r>
          <a:endParaRPr lang="en-US" altLang="zh-CN" sz="1050" kern="100">
            <a:latin typeface="Calibri" panose="020F0502020204030204"/>
            <a:ea typeface="SimSun" pitchFamily="7" charset="-122"/>
            <a:cs typeface="Times New Roman" panose="02020603050405020304" pitchFamily="12"/>
            <a:sym typeface="Times New Roman" panose="02020603050405020304" pitchFamily="12"/>
          </a:endParaRPr>
        </a:p>
        <a:p>
          <a:pPr algn="ctr"/>
          <a:r>
            <a:rPr lang="en-US" altLang="zh-CN" sz="1050" b="1" kern="100">
              <a:solidFill>
                <a:srgbClr val="002060"/>
              </a:solidFill>
              <a:latin typeface="Calibri" panose="020F0502020204030204"/>
              <a:ea typeface="SimSun" pitchFamily="7" charset="-122"/>
              <a:cs typeface="Times New Roman" panose="02020603050405020304" pitchFamily="12"/>
              <a:sym typeface="Times New Roman" panose="02020603050405020304" pitchFamily="12"/>
            </a:rPr>
            <a:t>Prepared By</a:t>
          </a:r>
          <a:endParaRPr lang="en-US" altLang="zh-CN" sz="1050" b="1" kern="100">
            <a:solidFill>
              <a:srgbClr val="002060"/>
            </a:solidFill>
            <a:latin typeface="Calibri" panose="020F0502020204030204"/>
            <a:ea typeface="SimSun" pitchFamily="7" charset="-122"/>
            <a:cs typeface="Times New Roman" panose="02020603050405020304" pitchFamily="12"/>
            <a:sym typeface="Times New Roman" panose="02020603050405020304" pitchFamily="12"/>
          </a:endParaRPr>
        </a:p>
      </xdr:txBody>
    </xdr:sp>
    <xdr:clientData/>
  </xdr:twoCellAnchor>
  <xdr:twoCellAnchor>
    <xdr:from>
      <xdr:col>0</xdr:col>
      <xdr:colOff>7620</xdr:colOff>
      <xdr:row>47</xdr:row>
      <xdr:rowOff>27940</xdr:rowOff>
    </xdr:from>
    <xdr:to>
      <xdr:col>7</xdr:col>
      <xdr:colOff>7620</xdr:colOff>
      <xdr:row>49</xdr:row>
      <xdr:rowOff>181610</xdr:rowOff>
    </xdr:to>
    <xdr:sp>
      <xdr:nvSpPr>
        <xdr:cNvPr id="8" name="Rectangle 8"/>
        <xdr:cNvSpPr/>
      </xdr:nvSpPr>
      <xdr:spPr>
        <a:xfrm>
          <a:off x="7620" y="8959215"/>
          <a:ext cx="8886825" cy="468630"/>
        </a:xfrm>
        <a:prstGeom prst="rect">
          <a:avLst/>
        </a:prstGeom>
        <a:solidFill>
          <a:srgbClr val="00206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>
    <xdr:from>
      <xdr:col>4</xdr:col>
      <xdr:colOff>1211379</xdr:colOff>
      <xdr:row>47</xdr:row>
      <xdr:rowOff>153232</xdr:rowOff>
    </xdr:from>
    <xdr:to>
      <xdr:col>5</xdr:col>
      <xdr:colOff>172705</xdr:colOff>
      <xdr:row>49</xdr:row>
      <xdr:rowOff>77032</xdr:rowOff>
    </xdr:to>
    <xdr:pic>
      <xdr:nvPicPr>
        <xdr:cNvPr id="9" name="Image 5"/>
        <xdr:cNvPicPr/>
      </xdr:nvPicPr>
      <xdr:blipFill>
        <a:blip r:embed="rId3" cstate="print"/>
        <a:stretch>
          <a:fillRect/>
        </a:stretch>
      </xdr:blipFill>
      <xdr:spPr>
        <a:xfrm>
          <a:off x="6724650" y="9084310"/>
          <a:ext cx="302260" cy="238760"/>
        </a:xfrm>
        <a:prstGeom prst="rect">
          <a:avLst/>
        </a:prstGeom>
      </xdr:spPr>
    </xdr:pic>
    <xdr:clientData/>
  </xdr:twoCellAnchor>
  <xdr:twoCellAnchor>
    <xdr:from>
      <xdr:col>5</xdr:col>
      <xdr:colOff>508000</xdr:colOff>
      <xdr:row>48</xdr:row>
      <xdr:rowOff>0</xdr:rowOff>
    </xdr:from>
    <xdr:to>
      <xdr:col>7</xdr:col>
      <xdr:colOff>177800</xdr:colOff>
      <xdr:row>49</xdr:row>
      <xdr:rowOff>101600</xdr:rowOff>
    </xdr:to>
    <xdr:sp>
      <xdr:nvSpPr>
        <xdr:cNvPr id="10" name="Textbox 8"/>
        <xdr:cNvSpPr txBox="1"/>
      </xdr:nvSpPr>
      <xdr:spPr>
        <a:xfrm>
          <a:off x="7362825" y="9144635"/>
          <a:ext cx="1701800" cy="203200"/>
        </a:xfrm>
        <a:prstGeom prst="rect">
          <a:avLst/>
        </a:prstGeom>
      </xdr:spPr>
      <xdr:txBody>
        <a:bodyPr wrap="square" lIns="0" tIns="0" rIns="0" bIns="0" rtlCol="0">
          <a:noAutofit/>
        </a:bodyPr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ts val="980"/>
            </a:lnSpc>
          </a:pPr>
          <a:r>
            <a:rPr lang="en-US" altLang="zh-CN" sz="1000" b="1" kern="100" spc="-10">
              <a:solidFill>
                <a:srgbClr val="FFFFFF"/>
              </a:solidFill>
              <a:latin typeface="Arial" panose="020B0704020202020204"/>
              <a:ea typeface="SimSun" pitchFamily="7" charset="-122"/>
              <a:cs typeface="Times New Roman" panose="02020603050405020304" pitchFamily="12"/>
              <a:sym typeface="Times New Roman" panose="02020603050405020304" pitchFamily="12"/>
            </a:rPr>
            <a:t>yutong@ncg.lk</a:t>
          </a:r>
          <a:endParaRPr lang="en-US" altLang="zh-CN" sz="1000" b="1" kern="100">
            <a:latin typeface="Arial" panose="020B0704020202020204"/>
            <a:ea typeface="SimSun" pitchFamily="7" charset="-122"/>
            <a:cs typeface="Times New Roman" panose="02020603050405020304" pitchFamily="12"/>
            <a:sym typeface="Times New Roman" panose="02020603050405020304" pitchFamily="12"/>
          </a:endParaRPr>
        </a:p>
      </xdr:txBody>
    </xdr:sp>
    <xdr:clientData/>
  </xdr:twoCellAnchor>
  <xdr:twoCellAnchor>
    <xdr:from>
      <xdr:col>2</xdr:col>
      <xdr:colOff>1450058</xdr:colOff>
      <xdr:row>47</xdr:row>
      <xdr:rowOff>151522</xdr:rowOff>
    </xdr:from>
    <xdr:to>
      <xdr:col>4</xdr:col>
      <xdr:colOff>497558</xdr:colOff>
      <xdr:row>49</xdr:row>
      <xdr:rowOff>77862</xdr:rowOff>
    </xdr:to>
    <xdr:sp>
      <xdr:nvSpPr>
        <xdr:cNvPr id="11" name="Textbox 7"/>
        <xdr:cNvSpPr txBox="1"/>
      </xdr:nvSpPr>
      <xdr:spPr>
        <a:xfrm>
          <a:off x="3387090" y="9082405"/>
          <a:ext cx="2623820" cy="241300"/>
        </a:xfrm>
        <a:prstGeom prst="rect">
          <a:avLst/>
        </a:prstGeom>
      </xdr:spPr>
      <xdr:txBody>
        <a:bodyPr wrap="square" lIns="0" tIns="0" rIns="0" bIns="0" rtlCol="0">
          <a:noAutofit/>
        </a:bodyPr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ts val="980"/>
            </a:lnSpc>
          </a:pPr>
          <a:r>
            <a:rPr lang="en-US" altLang="zh-CN" sz="1000" b="1" kern="100">
              <a:solidFill>
                <a:srgbClr val="FFFFFF"/>
              </a:solidFill>
              <a:latin typeface="Arial" panose="020B0704020202020204"/>
              <a:ea typeface="SimSun" pitchFamily="7" charset="-122"/>
              <a:cs typeface="Times New Roman" panose="02020603050405020304" pitchFamily="12"/>
              <a:sym typeface="Times New Roman" panose="02020603050405020304" pitchFamily="12"/>
            </a:rPr>
            <a:t>157</a:t>
          </a:r>
          <a:r>
            <a:rPr lang="en-US" altLang="zh-CN" sz="1000" b="1" kern="100" spc="-20">
              <a:solidFill>
                <a:srgbClr val="FFFFFF"/>
              </a:solidFill>
              <a:latin typeface="Arial" panose="020B0704020202020204"/>
              <a:ea typeface="SimSun" pitchFamily="7" charset="-122"/>
              <a:cs typeface="Times New Roman" panose="02020603050405020304" pitchFamily="12"/>
              <a:sym typeface="Times New Roman" panose="02020603050405020304" pitchFamily="12"/>
            </a:rPr>
            <a:t> </a:t>
          </a:r>
          <a:r>
            <a:rPr lang="en-US" altLang="zh-CN" sz="1000" b="1" kern="100">
              <a:solidFill>
                <a:srgbClr val="FFFFFF"/>
              </a:solidFill>
              <a:latin typeface="Arial" panose="020B0704020202020204"/>
              <a:ea typeface="SimSun" pitchFamily="7" charset="-122"/>
              <a:cs typeface="Times New Roman" panose="02020603050405020304" pitchFamily="12"/>
              <a:sym typeface="Times New Roman" panose="02020603050405020304" pitchFamily="12"/>
            </a:rPr>
            <a:t>Y, Kabellaowita,</a:t>
          </a:r>
          <a:r>
            <a:rPr lang="en-US" altLang="zh-CN" sz="1000" b="1" kern="100" spc="5">
              <a:solidFill>
                <a:srgbClr val="FFFFFF"/>
              </a:solidFill>
              <a:latin typeface="Arial" panose="020B0704020202020204"/>
              <a:ea typeface="SimSun" pitchFamily="7" charset="-122"/>
              <a:cs typeface="Times New Roman" panose="02020603050405020304" pitchFamily="12"/>
              <a:sym typeface="Times New Roman" panose="02020603050405020304" pitchFamily="12"/>
            </a:rPr>
            <a:t> </a:t>
          </a:r>
          <a:r>
            <a:rPr lang="en-US" altLang="zh-CN" sz="1000" b="1" kern="100">
              <a:solidFill>
                <a:srgbClr val="FFFFFF"/>
              </a:solidFill>
              <a:latin typeface="Arial" panose="020B0704020202020204"/>
              <a:ea typeface="SimSun" pitchFamily="7" charset="-122"/>
              <a:cs typeface="Times New Roman" panose="02020603050405020304" pitchFamily="12"/>
              <a:sym typeface="Times New Roman" panose="02020603050405020304" pitchFamily="12"/>
            </a:rPr>
            <a:t>Weniwelkola, </a:t>
          </a:r>
          <a:r>
            <a:rPr lang="en-US" altLang="zh-CN" sz="1000" b="1" kern="100" spc="-10">
              <a:solidFill>
                <a:srgbClr val="FFFFFF"/>
              </a:solidFill>
              <a:latin typeface="Arial" panose="020B0704020202020204"/>
              <a:ea typeface="SimSun" pitchFamily="7" charset="-122"/>
              <a:cs typeface="Times New Roman" panose="02020603050405020304" pitchFamily="12"/>
              <a:sym typeface="Times New Roman" panose="02020603050405020304" pitchFamily="12"/>
            </a:rPr>
            <a:t>Polgasowita</a:t>
          </a:r>
          <a:endParaRPr lang="en-US" altLang="zh-CN" sz="1000" b="1" kern="100">
            <a:latin typeface="Arial" panose="020B0704020202020204"/>
            <a:ea typeface="SimSun" pitchFamily="7" charset="-122"/>
            <a:cs typeface="Times New Roman" panose="02020603050405020304" pitchFamily="12"/>
            <a:sym typeface="Times New Roman" panose="02020603050405020304" pitchFamily="12"/>
          </a:endParaRPr>
        </a:p>
      </xdr:txBody>
    </xdr:sp>
    <xdr:clientData/>
  </xdr:twoCellAnchor>
  <xdr:twoCellAnchor>
    <xdr:from>
      <xdr:col>2</xdr:col>
      <xdr:colOff>1100936</xdr:colOff>
      <xdr:row>47</xdr:row>
      <xdr:rowOff>166857</xdr:rowOff>
    </xdr:from>
    <xdr:to>
      <xdr:col>2</xdr:col>
      <xdr:colOff>1320392</xdr:colOff>
      <xdr:row>49</xdr:row>
      <xdr:rowOff>89584</xdr:rowOff>
    </xdr:to>
    <xdr:pic>
      <xdr:nvPicPr>
        <xdr:cNvPr id="12" name="Image 4"/>
        <xdr:cNvPicPr/>
      </xdr:nvPicPr>
      <xdr:blipFill>
        <a:blip r:embed="rId4" cstate="print"/>
        <a:stretch>
          <a:fillRect/>
        </a:stretch>
      </xdr:blipFill>
      <xdr:spPr>
        <a:xfrm>
          <a:off x="3037840" y="9097645"/>
          <a:ext cx="219710" cy="238125"/>
        </a:xfrm>
        <a:prstGeom prst="rect">
          <a:avLst/>
        </a:prstGeom>
      </xdr:spPr>
    </xdr:pic>
    <xdr:clientData/>
  </xdr:twoCellAnchor>
  <xdr:twoCellAnchor>
    <xdr:from>
      <xdr:col>1</xdr:col>
      <xdr:colOff>259080</xdr:colOff>
      <xdr:row>47</xdr:row>
      <xdr:rowOff>193040</xdr:rowOff>
    </xdr:from>
    <xdr:to>
      <xdr:col>2</xdr:col>
      <xdr:colOff>0</xdr:colOff>
      <xdr:row>49</xdr:row>
      <xdr:rowOff>35560</xdr:rowOff>
    </xdr:to>
    <xdr:sp>
      <xdr:nvSpPr>
        <xdr:cNvPr id="13" name="Textbox 6"/>
        <xdr:cNvSpPr txBox="1"/>
      </xdr:nvSpPr>
      <xdr:spPr>
        <a:xfrm>
          <a:off x="530225" y="9124315"/>
          <a:ext cx="1407160" cy="157480"/>
        </a:xfrm>
        <a:prstGeom prst="rect">
          <a:avLst/>
        </a:prstGeom>
      </xdr:spPr>
      <xdr:txBody>
        <a:bodyPr wrap="square" lIns="0" tIns="0" rIns="0" bIns="0" rtlCol="0">
          <a:noAutofit/>
        </a:bodyPr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ts val="980"/>
            </a:lnSpc>
          </a:pPr>
          <a:r>
            <a:rPr lang="en-US" altLang="zh-CN" sz="1000" b="1" kern="100" spc="-10">
              <a:solidFill>
                <a:srgbClr val="FFFFFF"/>
              </a:solidFill>
              <a:latin typeface="Arial" panose="020B0704020202020204"/>
              <a:ea typeface="SimSun" pitchFamily="7" charset="-122"/>
              <a:cs typeface="Times New Roman" panose="02020603050405020304" pitchFamily="12"/>
              <a:sym typeface="Times New Roman" panose="02020603050405020304" pitchFamily="12"/>
            </a:rPr>
            <a:t>0770455981</a:t>
          </a:r>
          <a:endParaRPr lang="en-US" altLang="zh-CN" sz="1000" b="1" kern="100">
            <a:latin typeface="Arial" panose="020B0704020202020204"/>
            <a:ea typeface="SimSun" pitchFamily="7" charset="-122"/>
            <a:cs typeface="Times New Roman" panose="02020603050405020304" pitchFamily="12"/>
            <a:sym typeface="Times New Roman" panose="02020603050405020304" pitchFamily="12"/>
          </a:endParaRPr>
        </a:p>
      </xdr:txBody>
    </xdr:sp>
    <xdr:clientData/>
  </xdr:twoCellAnchor>
  <xdr:twoCellAnchor>
    <xdr:from>
      <xdr:col>0</xdr:col>
      <xdr:colOff>182880</xdr:colOff>
      <xdr:row>47</xdr:row>
      <xdr:rowOff>124460</xdr:rowOff>
    </xdr:from>
    <xdr:to>
      <xdr:col>1</xdr:col>
      <xdr:colOff>153084</xdr:colOff>
      <xdr:row>49</xdr:row>
      <xdr:rowOff>47187</xdr:rowOff>
    </xdr:to>
    <xdr:pic>
      <xdr:nvPicPr>
        <xdr:cNvPr id="14" name="Image 3"/>
        <xdr:cNvPicPr/>
      </xdr:nvPicPr>
      <xdr:blipFill>
        <a:blip r:embed="rId5" cstate="print"/>
        <a:stretch>
          <a:fillRect/>
        </a:stretch>
      </xdr:blipFill>
      <xdr:spPr>
        <a:xfrm>
          <a:off x="182880" y="9055735"/>
          <a:ext cx="241300" cy="237490"/>
        </a:xfrm>
        <a:prstGeom prst="rect">
          <a:avLst/>
        </a:prstGeom>
      </xdr:spPr>
    </xdr:pic>
    <xdr:clientData/>
  </xdr:twoCellAnchor>
  <xdr:twoCellAnchor>
    <xdr:from>
      <xdr:col>4</xdr:col>
      <xdr:colOff>697907</xdr:colOff>
      <xdr:row>40</xdr:row>
      <xdr:rowOff>71756</xdr:rowOff>
    </xdr:from>
    <xdr:to>
      <xdr:col>5</xdr:col>
      <xdr:colOff>1008880</xdr:colOff>
      <xdr:row>43</xdr:row>
      <xdr:rowOff>38101</xdr:rowOff>
    </xdr:to>
    <xdr:sp>
      <xdr:nvSpPr>
        <xdr:cNvPr id="15" name="Text Box 39"/>
        <xdr:cNvSpPr txBox="1"/>
      </xdr:nvSpPr>
      <xdr:spPr>
        <a:xfrm>
          <a:off x="6211570" y="7959090"/>
          <a:ext cx="1651635" cy="481965"/>
        </a:xfrm>
        <a:prstGeom prst="rect">
          <a:avLst/>
        </a:prstGeom>
        <a:noFill/>
        <a:ln w="6350">
          <a:noFill/>
        </a:ln>
      </xdr:spPr>
      <xdr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rot="0" spcFirstLastPara="0" vertOverflow="overflow" horzOverflow="overflow" vert="horz" wrap="square" lIns="91440" tIns="45720" rIns="91440" bIns="45720" numCol="1" spcCol="0" rtlCol="0" fromWordArt="0" anchor="t" anchorCtr="0" forceAA="0" compatLnSpc="1">
          <a:noAutofit/>
        </a:bodyPr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zh-CN" sz="1050" kern="100">
              <a:latin typeface="Calibri" panose="020F0502020204030204"/>
              <a:ea typeface="SimSun" pitchFamily="7" charset="-122"/>
              <a:cs typeface="Times New Roman" panose="02020603050405020304" pitchFamily="12"/>
              <a:sym typeface="Times New Roman" panose="02020603050405020304" pitchFamily="12"/>
            </a:rPr>
            <a:t>….……………………………</a:t>
          </a:r>
          <a:endParaRPr lang="en-US" altLang="zh-CN" sz="1050" kern="100">
            <a:latin typeface="Calibri" panose="020F0502020204030204"/>
            <a:ea typeface="SimSun" pitchFamily="7" charset="-122"/>
            <a:cs typeface="Times New Roman" panose="02020603050405020304" pitchFamily="12"/>
            <a:sym typeface="Times New Roman" panose="02020603050405020304" pitchFamily="12"/>
          </a:endParaRPr>
        </a:p>
        <a:p>
          <a:r>
            <a:rPr lang="en-US" altLang="zh-CN" sz="1050" b="1" kern="100" baseline="0">
              <a:solidFill>
                <a:srgbClr val="002060"/>
              </a:solidFill>
              <a:latin typeface="Calibri" panose="020F0502020204030204"/>
              <a:ea typeface="SimSun" pitchFamily="7" charset="-122"/>
              <a:cs typeface="Times New Roman" panose="02020603050405020304" pitchFamily="12"/>
              <a:sym typeface="Times New Roman" panose="02020603050405020304" pitchFamily="12"/>
            </a:rPr>
            <a:t>           </a:t>
          </a:r>
          <a:r>
            <a:rPr lang="en-US" altLang="zh-CN" sz="1050" b="1" kern="100">
              <a:solidFill>
                <a:srgbClr val="002060"/>
              </a:solidFill>
              <a:latin typeface="Calibri" panose="020F0502020204030204"/>
              <a:ea typeface="SimSun" pitchFamily="7" charset="-122"/>
              <a:cs typeface="Times New Roman" panose="02020603050405020304" pitchFamily="12"/>
              <a:sym typeface="Times New Roman" panose="02020603050405020304" pitchFamily="12"/>
            </a:rPr>
            <a:t>Approved By</a:t>
          </a:r>
          <a:endParaRPr lang="en-US" altLang="zh-CN" sz="1050" b="1" kern="100">
            <a:solidFill>
              <a:srgbClr val="002060"/>
            </a:solidFill>
            <a:latin typeface="Calibri" panose="020F0502020204030204"/>
            <a:ea typeface="SimSun" pitchFamily="7" charset="-122"/>
            <a:cs typeface="Times New Roman" panose="02020603050405020304" pitchFamily="12"/>
            <a:sym typeface="Times New Roman" panose="02020603050405020304" pitchFamily="12"/>
          </a:endParaRPr>
        </a:p>
      </xdr:txBody>
    </xdr:sp>
    <xdr:clientData/>
  </xdr:twoCellAnchor>
  <xdr:twoCellAnchor>
    <xdr:from>
      <xdr:col>0</xdr:col>
      <xdr:colOff>149791</xdr:colOff>
      <xdr:row>2</xdr:row>
      <xdr:rowOff>46406</xdr:rowOff>
    </xdr:from>
    <xdr:to>
      <xdr:col>2</xdr:col>
      <xdr:colOff>891702</xdr:colOff>
      <xdr:row>4</xdr:row>
      <xdr:rowOff>144114</xdr:rowOff>
    </xdr:to>
    <xdr:sp>
      <xdr:nvSpPr>
        <xdr:cNvPr id="16" name="Textbox 15"/>
        <xdr:cNvSpPr txBox="1"/>
      </xdr:nvSpPr>
      <xdr:spPr>
        <a:xfrm>
          <a:off x="149225" y="294005"/>
          <a:ext cx="2679700" cy="465455"/>
        </a:xfrm>
        <a:prstGeom prst="rect">
          <a:avLst/>
        </a:prstGeom>
      </xdr:spPr>
      <xdr:txBody>
        <a:bodyPr wrap="square" lIns="0" tIns="0" rIns="0" bIns="0"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marL="0">
            <a:spcBef>
              <a:spcPts val="500"/>
            </a:spcBef>
          </a:pPr>
          <a:r>
            <a:rPr lang="en-US" altLang="zh-CN" sz="3200" b="1" kern="100" baseline="0">
              <a:ln w="10160">
                <a:solidFill>
                  <a:srgbClr val="4472C4"/>
                </a:solidFill>
                <a:prstDash val="solid"/>
                <a:round/>
              </a:ln>
              <a:solidFill>
                <a:srgbClr val="FFFFFF"/>
              </a:solidFill>
              <a:effectLst>
                <a:glow>
                  <a:srgbClr val="000000"/>
                </a:glow>
                <a:outerShdw blurRad="38100" dist="22860" dir="5400000" algn="tl">
                  <a:srgbClr val="000000">
                    <a:alpha val="30000"/>
                  </a:srgbClr>
                </a:outerShdw>
                <a:reflection stA="0" endPos="0" fadeDir="0" sx="0" sy="0"/>
              </a:effectLst>
              <a:latin typeface="Arial" panose="020B0704020202020204"/>
              <a:ea typeface="SimSun" pitchFamily="7" charset="-122"/>
              <a:cs typeface="Times New Roman" panose="02020603050405020304" pitchFamily="12"/>
              <a:sym typeface="Times New Roman" panose="02020603050405020304" pitchFamily="12"/>
            </a:rPr>
            <a:t>INVOICE</a:t>
          </a:r>
          <a:endParaRPr lang="en-US" altLang="zh-CN" sz="2400" b="1" kern="100" baseline="0">
            <a:ln w="10160">
              <a:solidFill>
                <a:srgbClr val="4472C4"/>
              </a:solidFill>
              <a:prstDash val="solid"/>
              <a:round/>
            </a:ln>
            <a:solidFill>
              <a:srgbClr val="FFFFFF"/>
            </a:solidFill>
            <a:effectLst>
              <a:glow>
                <a:srgbClr val="000000"/>
              </a:glow>
              <a:outerShdw blurRad="38100" dist="22860" dir="5400000" algn="tl">
                <a:srgbClr val="000000">
                  <a:alpha val="30000"/>
                </a:srgbClr>
              </a:outerShdw>
              <a:reflection stA="0" endPos="0" fadeDir="0" sx="0" sy="0"/>
            </a:effectLst>
            <a:latin typeface="Arial" panose="020B0704020202020204"/>
            <a:ea typeface="SimSun" pitchFamily="7" charset="-122"/>
            <a:cs typeface="Times New Roman" panose="02020603050405020304" pitchFamily="12"/>
            <a:sym typeface="Times New Roman" panose="02020603050405020304" pitchFamily="12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W113"/>
  <sheetViews>
    <sheetView tabSelected="1" zoomScale="40" zoomScaleNormal="40" workbookViewId="0">
      <selection activeCell="D66" sqref="D66"/>
    </sheetView>
  </sheetViews>
  <sheetFormatPr defaultColWidth="8.8359375" defaultRowHeight="16.8"/>
  <cols>
    <col min="2" max="2" width="21.8359375" customWidth="1"/>
    <col min="3" max="3" width="25.3359375" customWidth="1"/>
    <col min="4" max="4" width="22.6640625" customWidth="1"/>
    <col min="5" max="5" width="14.8359375" customWidth="1"/>
    <col min="6" max="7" width="21.3359375" customWidth="1"/>
    <col min="8" max="10" width="23.6640625" customWidth="1"/>
    <col min="11" max="11" width="22.8359375" customWidth="1"/>
    <col min="12" max="12" width="29.5" customWidth="1"/>
    <col min="13" max="13" width="18.3359375" customWidth="1"/>
    <col min="14" max="15" width="17" customWidth="1"/>
    <col min="16" max="16" width="51.5" customWidth="1"/>
    <col min="17" max="18" width="13.6640625" customWidth="1"/>
    <col min="19" max="19" width="38" customWidth="1"/>
    <col min="20" max="20" width="24.5" customWidth="1"/>
    <col min="21" max="21" width="17" customWidth="1"/>
    <col min="22" max="22" width="25" customWidth="1"/>
    <col min="23" max="23" width="27" customWidth="1"/>
  </cols>
  <sheetData>
    <row r="1" ht="41" spans="1:23">
      <c r="A1" s="64" t="s">
        <v>0</v>
      </c>
      <c r="B1" s="64" t="s">
        <v>1</v>
      </c>
      <c r="C1" s="64" t="s">
        <v>2</v>
      </c>
      <c r="D1" s="64" t="s">
        <v>3</v>
      </c>
      <c r="E1" s="64" t="s">
        <v>4</v>
      </c>
      <c r="F1" s="64" t="s">
        <v>5</v>
      </c>
      <c r="G1" s="64" t="s">
        <v>6</v>
      </c>
      <c r="H1" s="64" t="s">
        <v>7</v>
      </c>
      <c r="I1" s="64" t="s">
        <v>8</v>
      </c>
      <c r="J1" s="64" t="s">
        <v>9</v>
      </c>
      <c r="K1" s="64" t="s">
        <v>10</v>
      </c>
      <c r="L1" s="64" t="s">
        <v>11</v>
      </c>
      <c r="M1" s="64" t="s">
        <v>12</v>
      </c>
      <c r="N1" s="64" t="s">
        <v>13</v>
      </c>
      <c r="O1" s="64" t="s">
        <v>14</v>
      </c>
      <c r="P1" s="64" t="s">
        <v>15</v>
      </c>
      <c r="Q1" s="64" t="s">
        <v>16</v>
      </c>
      <c r="R1" s="64" t="s">
        <v>17</v>
      </c>
      <c r="S1" s="64" t="s">
        <v>18</v>
      </c>
      <c r="T1" s="64" t="s">
        <v>19</v>
      </c>
      <c r="U1" s="64" t="s">
        <v>20</v>
      </c>
      <c r="V1" s="64" t="s">
        <v>21</v>
      </c>
      <c r="W1" s="64" t="s">
        <v>22</v>
      </c>
    </row>
    <row r="2" ht="20.4" spans="1:23">
      <c r="A2" s="65">
        <v>1</v>
      </c>
      <c r="B2" s="65"/>
      <c r="C2" s="65" t="s">
        <v>23</v>
      </c>
      <c r="D2" s="65" t="s">
        <v>24</v>
      </c>
      <c r="E2" s="65" t="s">
        <v>25</v>
      </c>
      <c r="F2" s="65" t="s">
        <v>26</v>
      </c>
      <c r="G2" s="66" t="s">
        <v>27</v>
      </c>
      <c r="H2" s="66" t="s">
        <v>28</v>
      </c>
      <c r="I2" s="65" t="s">
        <v>29</v>
      </c>
      <c r="J2" s="65"/>
      <c r="K2" s="65"/>
      <c r="L2" s="65" t="s">
        <v>30</v>
      </c>
      <c r="M2" s="65"/>
      <c r="N2" s="73"/>
      <c r="O2" s="73"/>
      <c r="P2" s="73" t="s">
        <v>31</v>
      </c>
      <c r="Q2" s="71"/>
      <c r="R2" s="71"/>
      <c r="S2" s="71"/>
      <c r="T2" s="74"/>
      <c r="U2" s="71"/>
      <c r="V2" s="75"/>
      <c r="W2" s="75"/>
    </row>
    <row r="3" ht="20.4" spans="1:23">
      <c r="A3" s="65">
        <v>2</v>
      </c>
      <c r="B3" s="65"/>
      <c r="C3" s="65" t="s">
        <v>32</v>
      </c>
      <c r="D3" s="65" t="s">
        <v>24</v>
      </c>
      <c r="E3" s="65" t="s">
        <v>33</v>
      </c>
      <c r="F3" s="65" t="s">
        <v>34</v>
      </c>
      <c r="G3" s="66" t="s">
        <v>35</v>
      </c>
      <c r="H3" s="66" t="s">
        <v>36</v>
      </c>
      <c r="I3" s="65" t="s">
        <v>37</v>
      </c>
      <c r="J3" s="65"/>
      <c r="K3" s="65"/>
      <c r="L3" s="65" t="s">
        <v>38</v>
      </c>
      <c r="M3" s="65"/>
      <c r="N3" s="73"/>
      <c r="O3" s="73"/>
      <c r="P3" s="73" t="s">
        <v>31</v>
      </c>
      <c r="Q3" s="71"/>
      <c r="R3" s="71"/>
      <c r="S3" s="71"/>
      <c r="T3" s="71"/>
      <c r="U3" s="71"/>
      <c r="V3" s="75"/>
      <c r="W3" s="75"/>
    </row>
    <row r="4" ht="20.4" spans="1:23">
      <c r="A4" s="65">
        <v>3</v>
      </c>
      <c r="B4" s="65"/>
      <c r="C4" s="65" t="s">
        <v>39</v>
      </c>
      <c r="D4" s="65" t="s">
        <v>24</v>
      </c>
      <c r="E4" s="65" t="s">
        <v>40</v>
      </c>
      <c r="F4" s="65" t="s">
        <v>41</v>
      </c>
      <c r="G4" s="66" t="s">
        <v>42</v>
      </c>
      <c r="H4" s="66" t="s">
        <v>43</v>
      </c>
      <c r="I4" s="65" t="s">
        <v>29</v>
      </c>
      <c r="J4" s="65"/>
      <c r="K4" s="65"/>
      <c r="L4" s="65" t="s">
        <v>44</v>
      </c>
      <c r="M4" s="65"/>
      <c r="N4" s="73"/>
      <c r="O4" s="73"/>
      <c r="P4" s="73" t="s">
        <v>31</v>
      </c>
      <c r="Q4" s="71"/>
      <c r="R4" s="71"/>
      <c r="S4" s="71"/>
      <c r="T4" s="71"/>
      <c r="U4" s="71"/>
      <c r="V4" s="75"/>
      <c r="W4" s="75"/>
    </row>
    <row r="5" ht="20.4" spans="1:23">
      <c r="A5" s="65">
        <v>4</v>
      </c>
      <c r="B5" s="65"/>
      <c r="C5" s="65" t="s">
        <v>45</v>
      </c>
      <c r="D5" s="65" t="s">
        <v>24</v>
      </c>
      <c r="E5" s="65" t="s">
        <v>46</v>
      </c>
      <c r="F5" s="65" t="s">
        <v>47</v>
      </c>
      <c r="G5" s="66" t="s">
        <v>48</v>
      </c>
      <c r="H5" s="66" t="s">
        <v>49</v>
      </c>
      <c r="I5" s="65" t="s">
        <v>37</v>
      </c>
      <c r="J5" s="65"/>
      <c r="K5" s="65"/>
      <c r="L5" s="65" t="s">
        <v>50</v>
      </c>
      <c r="M5" s="65"/>
      <c r="N5" s="73"/>
      <c r="O5" s="73"/>
      <c r="P5" s="73" t="s">
        <v>31</v>
      </c>
      <c r="Q5" s="71"/>
      <c r="R5" s="71"/>
      <c r="S5" s="71"/>
      <c r="T5" s="71"/>
      <c r="U5" s="71"/>
      <c r="V5" s="75"/>
      <c r="W5" s="75"/>
    </row>
    <row r="6" ht="20.4" spans="1:23">
      <c r="A6" s="65">
        <v>5</v>
      </c>
      <c r="B6" s="65"/>
      <c r="C6" s="65" t="s">
        <v>51</v>
      </c>
      <c r="D6" s="65" t="s">
        <v>24</v>
      </c>
      <c r="E6" s="65" t="s">
        <v>52</v>
      </c>
      <c r="F6" s="65" t="s">
        <v>53</v>
      </c>
      <c r="G6" s="66" t="s">
        <v>54</v>
      </c>
      <c r="H6" s="66" t="s">
        <v>55</v>
      </c>
      <c r="I6" s="65" t="s">
        <v>37</v>
      </c>
      <c r="J6" s="65"/>
      <c r="K6" s="65"/>
      <c r="L6" s="65" t="s">
        <v>56</v>
      </c>
      <c r="M6" s="65"/>
      <c r="N6" s="73"/>
      <c r="O6" s="73"/>
      <c r="P6" s="73" t="s">
        <v>31</v>
      </c>
      <c r="Q6" s="71"/>
      <c r="R6" s="71"/>
      <c r="S6" s="71"/>
      <c r="T6" s="71"/>
      <c r="U6" s="71"/>
      <c r="V6" s="75"/>
      <c r="W6" s="75"/>
    </row>
    <row r="7" ht="20.4" spans="1:23">
      <c r="A7" s="65">
        <v>6</v>
      </c>
      <c r="B7" s="65"/>
      <c r="C7" s="65" t="s">
        <v>57</v>
      </c>
      <c r="D7" s="65" t="s">
        <v>24</v>
      </c>
      <c r="E7" s="65" t="s">
        <v>52</v>
      </c>
      <c r="F7" s="65" t="s">
        <v>58</v>
      </c>
      <c r="G7" s="66" t="s">
        <v>59</v>
      </c>
      <c r="H7" s="66" t="s">
        <v>60</v>
      </c>
      <c r="I7" s="65" t="s">
        <v>37</v>
      </c>
      <c r="J7" s="65"/>
      <c r="K7" s="65"/>
      <c r="L7" s="65" t="s">
        <v>61</v>
      </c>
      <c r="M7" s="65"/>
      <c r="N7" s="73"/>
      <c r="O7" s="73"/>
      <c r="P7" s="73" t="s">
        <v>31</v>
      </c>
      <c r="Q7" s="71"/>
      <c r="R7" s="71"/>
      <c r="S7" s="71"/>
      <c r="T7" s="71"/>
      <c r="U7" s="76"/>
      <c r="V7" s="77"/>
      <c r="W7" s="75"/>
    </row>
    <row r="8" ht="20.4" spans="1:23">
      <c r="A8" s="65">
        <v>7</v>
      </c>
      <c r="B8" s="65"/>
      <c r="C8" s="65" t="s">
        <v>62</v>
      </c>
      <c r="D8" s="65" t="s">
        <v>24</v>
      </c>
      <c r="E8" s="65" t="s">
        <v>52</v>
      </c>
      <c r="F8" s="65" t="s">
        <v>63</v>
      </c>
      <c r="G8" s="66" t="s">
        <v>64</v>
      </c>
      <c r="H8" s="66" t="s">
        <v>65</v>
      </c>
      <c r="I8" s="65" t="s">
        <v>37</v>
      </c>
      <c r="J8" s="65"/>
      <c r="K8" s="65"/>
      <c r="L8" s="65" t="s">
        <v>66</v>
      </c>
      <c r="M8" s="65"/>
      <c r="N8" s="73"/>
      <c r="O8" s="73"/>
      <c r="P8" s="73" t="s">
        <v>31</v>
      </c>
      <c r="Q8" s="71"/>
      <c r="R8" s="71"/>
      <c r="S8" s="71"/>
      <c r="T8" s="71"/>
      <c r="U8" s="71"/>
      <c r="V8" s="75"/>
      <c r="W8" s="75"/>
    </row>
    <row r="9" ht="20.4" spans="1:23">
      <c r="A9" s="65">
        <v>8</v>
      </c>
      <c r="B9" s="65"/>
      <c r="C9" s="65" t="s">
        <v>67</v>
      </c>
      <c r="D9" s="65" t="s">
        <v>24</v>
      </c>
      <c r="E9" s="65" t="s">
        <v>52</v>
      </c>
      <c r="F9" s="65" t="s">
        <v>68</v>
      </c>
      <c r="G9" s="66" t="s">
        <v>69</v>
      </c>
      <c r="H9" s="66" t="s">
        <v>70</v>
      </c>
      <c r="I9" s="65" t="s">
        <v>37</v>
      </c>
      <c r="J9" s="65"/>
      <c r="K9" s="65"/>
      <c r="L9" s="65" t="s">
        <v>71</v>
      </c>
      <c r="M9" s="65"/>
      <c r="N9" s="73"/>
      <c r="O9" s="73"/>
      <c r="P9" s="73" t="s">
        <v>31</v>
      </c>
      <c r="Q9" s="71"/>
      <c r="R9" s="71"/>
      <c r="S9" s="73"/>
      <c r="T9" s="71"/>
      <c r="U9" s="71"/>
      <c r="V9" s="75"/>
      <c r="W9" s="75"/>
    </row>
    <row r="10" ht="20.4" spans="1:23">
      <c r="A10" s="65">
        <v>9</v>
      </c>
      <c r="B10" s="65"/>
      <c r="C10" s="65" t="s">
        <v>72</v>
      </c>
      <c r="D10" s="65" t="s">
        <v>73</v>
      </c>
      <c r="E10" s="65" t="s">
        <v>74</v>
      </c>
      <c r="F10" s="65" t="s">
        <v>75</v>
      </c>
      <c r="G10" s="66" t="s">
        <v>76</v>
      </c>
      <c r="H10" s="66" t="s">
        <v>77</v>
      </c>
      <c r="I10" s="65" t="s">
        <v>37</v>
      </c>
      <c r="J10" s="65"/>
      <c r="K10" s="65"/>
      <c r="L10" s="65" t="s">
        <v>78</v>
      </c>
      <c r="M10" s="65"/>
      <c r="N10" s="73"/>
      <c r="O10" s="73"/>
      <c r="P10" s="73" t="s">
        <v>31</v>
      </c>
      <c r="Q10" s="71"/>
      <c r="R10" s="71"/>
      <c r="S10" s="71"/>
      <c r="T10" s="71"/>
      <c r="U10" s="71"/>
      <c r="V10" s="75"/>
      <c r="W10" s="75"/>
    </row>
    <row r="11" ht="20.4" spans="1:23">
      <c r="A11" s="65">
        <v>10</v>
      </c>
      <c r="B11" s="65"/>
      <c r="C11" s="65" t="s">
        <v>79</v>
      </c>
      <c r="D11" s="65" t="s">
        <v>73</v>
      </c>
      <c r="E11" s="65" t="s">
        <v>74</v>
      </c>
      <c r="F11" s="65" t="s">
        <v>80</v>
      </c>
      <c r="G11" s="66" t="s">
        <v>81</v>
      </c>
      <c r="H11" s="66" t="s">
        <v>82</v>
      </c>
      <c r="I11" s="65" t="s">
        <v>37</v>
      </c>
      <c r="J11" s="65"/>
      <c r="K11" s="65"/>
      <c r="L11" s="65" t="s">
        <v>83</v>
      </c>
      <c r="M11" s="65"/>
      <c r="N11" s="73"/>
      <c r="O11" s="73"/>
      <c r="P11" s="73" t="s">
        <v>31</v>
      </c>
      <c r="Q11" s="71"/>
      <c r="R11" s="71"/>
      <c r="S11" s="73"/>
      <c r="T11" s="71"/>
      <c r="U11" s="71"/>
      <c r="V11" s="75"/>
      <c r="W11" s="75"/>
    </row>
    <row r="12" ht="20.4" spans="1:23">
      <c r="A12" s="65">
        <v>11</v>
      </c>
      <c r="B12" s="65"/>
      <c r="C12" s="65" t="s">
        <v>84</v>
      </c>
      <c r="D12" s="65" t="s">
        <v>73</v>
      </c>
      <c r="E12" s="65" t="s">
        <v>74</v>
      </c>
      <c r="F12" s="65" t="s">
        <v>85</v>
      </c>
      <c r="G12" s="66" t="s">
        <v>86</v>
      </c>
      <c r="H12" s="66" t="s">
        <v>87</v>
      </c>
      <c r="I12" s="65" t="s">
        <v>37</v>
      </c>
      <c r="J12" s="65"/>
      <c r="K12" s="65"/>
      <c r="L12" s="65" t="s">
        <v>88</v>
      </c>
      <c r="M12" s="65"/>
      <c r="N12" s="73"/>
      <c r="O12" s="73"/>
      <c r="P12" s="73" t="s">
        <v>31</v>
      </c>
      <c r="Q12" s="71"/>
      <c r="R12" s="71"/>
      <c r="S12" s="73"/>
      <c r="T12" s="71"/>
      <c r="U12" s="71"/>
      <c r="V12" s="75"/>
      <c r="W12" s="75"/>
    </row>
    <row r="13" ht="20.4" spans="1:23">
      <c r="A13" s="65">
        <v>12</v>
      </c>
      <c r="B13" s="65"/>
      <c r="C13" s="65" t="s">
        <v>89</v>
      </c>
      <c r="D13" s="65" t="s">
        <v>73</v>
      </c>
      <c r="E13" s="65" t="s">
        <v>74</v>
      </c>
      <c r="F13" s="65" t="s">
        <v>90</v>
      </c>
      <c r="G13" s="66" t="s">
        <v>91</v>
      </c>
      <c r="H13" s="66" t="s">
        <v>92</v>
      </c>
      <c r="I13" s="65" t="s">
        <v>37</v>
      </c>
      <c r="J13" s="65"/>
      <c r="K13" s="65"/>
      <c r="L13" s="65" t="s">
        <v>93</v>
      </c>
      <c r="M13" s="65"/>
      <c r="N13" s="73"/>
      <c r="O13" s="73"/>
      <c r="P13" s="73" t="s">
        <v>31</v>
      </c>
      <c r="Q13" s="71"/>
      <c r="R13" s="71"/>
      <c r="S13" s="71"/>
      <c r="T13" s="71"/>
      <c r="U13" s="76"/>
      <c r="V13" s="75"/>
      <c r="W13" s="75"/>
    </row>
    <row r="14" ht="20.4" spans="1:23">
      <c r="A14" s="65">
        <v>13</v>
      </c>
      <c r="B14" s="65"/>
      <c r="C14" s="65" t="s">
        <v>94</v>
      </c>
      <c r="D14" s="65" t="s">
        <v>73</v>
      </c>
      <c r="E14" s="65" t="s">
        <v>74</v>
      </c>
      <c r="F14" s="65" t="s">
        <v>95</v>
      </c>
      <c r="G14" s="66" t="s">
        <v>96</v>
      </c>
      <c r="H14" s="66" t="s">
        <v>97</v>
      </c>
      <c r="I14" s="65" t="s">
        <v>37</v>
      </c>
      <c r="J14" s="65"/>
      <c r="K14" s="65"/>
      <c r="L14" s="65" t="s">
        <v>98</v>
      </c>
      <c r="M14" s="65"/>
      <c r="N14" s="73"/>
      <c r="O14" s="73"/>
      <c r="P14" s="73" t="s">
        <v>31</v>
      </c>
      <c r="Q14" s="71"/>
      <c r="R14" s="71"/>
      <c r="S14" s="71"/>
      <c r="T14" s="71"/>
      <c r="U14" s="71"/>
      <c r="V14" s="75"/>
      <c r="W14" s="75"/>
    </row>
    <row r="15" ht="20.4" spans="1:23">
      <c r="A15" s="65">
        <v>14</v>
      </c>
      <c r="B15" s="65"/>
      <c r="C15" s="65" t="s">
        <v>99</v>
      </c>
      <c r="D15" s="65" t="s">
        <v>73</v>
      </c>
      <c r="E15" s="65" t="s">
        <v>74</v>
      </c>
      <c r="F15" s="65" t="s">
        <v>100</v>
      </c>
      <c r="G15" s="66" t="s">
        <v>101</v>
      </c>
      <c r="H15" s="66" t="s">
        <v>102</v>
      </c>
      <c r="I15" s="65" t="s">
        <v>37</v>
      </c>
      <c r="J15" s="65"/>
      <c r="K15" s="65"/>
      <c r="L15" s="65" t="s">
        <v>103</v>
      </c>
      <c r="M15" s="65"/>
      <c r="N15" s="73"/>
      <c r="O15" s="73"/>
      <c r="P15" s="73" t="s">
        <v>31</v>
      </c>
      <c r="Q15" s="71"/>
      <c r="R15" s="71"/>
      <c r="S15" s="71"/>
      <c r="T15" s="71"/>
      <c r="U15" s="71"/>
      <c r="V15" s="75"/>
      <c r="W15" s="75"/>
    </row>
    <row r="16" ht="20.4" spans="1:23">
      <c r="A16" s="65">
        <v>15</v>
      </c>
      <c r="B16" s="65"/>
      <c r="C16" s="65" t="s">
        <v>104</v>
      </c>
      <c r="D16" s="65" t="s">
        <v>73</v>
      </c>
      <c r="E16" s="65" t="s">
        <v>74</v>
      </c>
      <c r="F16" s="65" t="s">
        <v>105</v>
      </c>
      <c r="G16" s="66" t="s">
        <v>106</v>
      </c>
      <c r="H16" s="66" t="s">
        <v>107</v>
      </c>
      <c r="I16" s="65" t="s">
        <v>37</v>
      </c>
      <c r="J16" s="65"/>
      <c r="K16" s="65"/>
      <c r="L16" s="65" t="s">
        <v>103</v>
      </c>
      <c r="M16" s="65"/>
      <c r="N16" s="73"/>
      <c r="O16" s="73"/>
      <c r="P16" s="73" t="s">
        <v>31</v>
      </c>
      <c r="Q16" s="71"/>
      <c r="R16" s="71"/>
      <c r="S16" s="71"/>
      <c r="T16" s="71"/>
      <c r="U16" s="71"/>
      <c r="V16" s="75"/>
      <c r="W16" s="75"/>
    </row>
    <row r="17" ht="20.4" spans="1:23">
      <c r="A17" s="65">
        <v>16</v>
      </c>
      <c r="B17" s="65"/>
      <c r="C17" s="65" t="s">
        <v>108</v>
      </c>
      <c r="D17" s="65" t="s">
        <v>73</v>
      </c>
      <c r="E17" s="65" t="s">
        <v>74</v>
      </c>
      <c r="F17" s="65" t="s">
        <v>109</v>
      </c>
      <c r="G17" s="66" t="s">
        <v>110</v>
      </c>
      <c r="H17" s="66" t="s">
        <v>111</v>
      </c>
      <c r="I17" s="65" t="s">
        <v>37</v>
      </c>
      <c r="J17" s="65"/>
      <c r="K17" s="65"/>
      <c r="L17" s="65" t="s">
        <v>112</v>
      </c>
      <c r="M17" s="65"/>
      <c r="N17" s="73"/>
      <c r="O17" s="73"/>
      <c r="P17" s="73" t="s">
        <v>31</v>
      </c>
      <c r="Q17" s="71"/>
      <c r="R17" s="71"/>
      <c r="S17" s="65"/>
      <c r="T17" s="71"/>
      <c r="U17" s="71"/>
      <c r="V17" s="75"/>
      <c r="W17" s="75"/>
    </row>
    <row r="18" ht="20.4" spans="1:23">
      <c r="A18" s="65">
        <v>17</v>
      </c>
      <c r="B18" s="65"/>
      <c r="C18" s="65" t="s">
        <v>113</v>
      </c>
      <c r="D18" s="65" t="s">
        <v>73</v>
      </c>
      <c r="E18" s="65" t="s">
        <v>74</v>
      </c>
      <c r="F18" s="65" t="s">
        <v>114</v>
      </c>
      <c r="G18" s="66" t="s">
        <v>115</v>
      </c>
      <c r="H18" s="66" t="s">
        <v>116</v>
      </c>
      <c r="I18" s="65" t="s">
        <v>37</v>
      </c>
      <c r="J18" s="65"/>
      <c r="K18" s="65"/>
      <c r="L18" s="65" t="s">
        <v>117</v>
      </c>
      <c r="M18" s="65"/>
      <c r="N18" s="73"/>
      <c r="O18" s="73"/>
      <c r="P18" s="73" t="s">
        <v>31</v>
      </c>
      <c r="Q18" s="71"/>
      <c r="R18" s="71"/>
      <c r="S18" s="65"/>
      <c r="T18" s="71"/>
      <c r="U18" s="71"/>
      <c r="V18" s="75"/>
      <c r="W18" s="75"/>
    </row>
    <row r="19" ht="20.4" spans="1:23">
      <c r="A19" s="65">
        <v>18</v>
      </c>
      <c r="B19" s="65"/>
      <c r="C19" s="65" t="s">
        <v>118</v>
      </c>
      <c r="D19" s="65" t="s">
        <v>73</v>
      </c>
      <c r="E19" s="65" t="s">
        <v>74</v>
      </c>
      <c r="F19" s="65" t="s">
        <v>119</v>
      </c>
      <c r="G19" s="66" t="s">
        <v>120</v>
      </c>
      <c r="H19" s="66" t="s">
        <v>121</v>
      </c>
      <c r="I19" s="65" t="s">
        <v>37</v>
      </c>
      <c r="J19" s="65"/>
      <c r="K19" s="65"/>
      <c r="L19" s="65" t="s">
        <v>122</v>
      </c>
      <c r="M19" s="65"/>
      <c r="N19" s="73"/>
      <c r="O19" s="73"/>
      <c r="P19" s="73" t="s">
        <v>31</v>
      </c>
      <c r="Q19" s="71"/>
      <c r="R19" s="71"/>
      <c r="S19" s="65"/>
      <c r="T19" s="71"/>
      <c r="U19" s="71"/>
      <c r="V19" s="75"/>
      <c r="W19" s="75"/>
    </row>
    <row r="20" ht="20.4" spans="1:23">
      <c r="A20" s="65">
        <v>19</v>
      </c>
      <c r="B20" s="65"/>
      <c r="C20" s="65" t="s">
        <v>123</v>
      </c>
      <c r="D20" s="65" t="s">
        <v>24</v>
      </c>
      <c r="E20" s="65" t="s">
        <v>124</v>
      </c>
      <c r="F20" s="65" t="s">
        <v>125</v>
      </c>
      <c r="G20" s="66" t="s">
        <v>126</v>
      </c>
      <c r="H20" s="66" t="s">
        <v>127</v>
      </c>
      <c r="I20" s="65" t="s">
        <v>37</v>
      </c>
      <c r="J20" s="65"/>
      <c r="K20" s="65"/>
      <c r="L20" s="65" t="s">
        <v>128</v>
      </c>
      <c r="M20" s="65"/>
      <c r="N20" s="73"/>
      <c r="O20" s="73"/>
      <c r="P20" s="73" t="s">
        <v>31</v>
      </c>
      <c r="Q20" s="71"/>
      <c r="R20" s="71"/>
      <c r="S20" s="65"/>
      <c r="T20" s="71"/>
      <c r="U20" s="71"/>
      <c r="V20" s="75"/>
      <c r="W20" s="75"/>
    </row>
    <row r="21" ht="20" customHeight="1" spans="1:23">
      <c r="A21" s="65">
        <v>20</v>
      </c>
      <c r="B21" s="65"/>
      <c r="C21" s="65" t="s">
        <v>129</v>
      </c>
      <c r="D21" s="65" t="s">
        <v>130</v>
      </c>
      <c r="E21" s="65" t="s">
        <v>131</v>
      </c>
      <c r="F21" s="65" t="s">
        <v>132</v>
      </c>
      <c r="G21" s="66" t="s">
        <v>133</v>
      </c>
      <c r="H21" s="66" t="s">
        <v>134</v>
      </c>
      <c r="I21" s="65" t="s">
        <v>37</v>
      </c>
      <c r="J21" s="65"/>
      <c r="K21" s="65"/>
      <c r="L21" s="65" t="s">
        <v>135</v>
      </c>
      <c r="M21" s="65"/>
      <c r="N21" s="73"/>
      <c r="O21" s="73"/>
      <c r="P21" s="73" t="s">
        <v>31</v>
      </c>
      <c r="Q21" s="71"/>
      <c r="R21" s="71"/>
      <c r="S21" s="65"/>
      <c r="T21" s="71"/>
      <c r="U21" s="71"/>
      <c r="V21" s="75"/>
      <c r="W21" s="75"/>
    </row>
    <row r="22" ht="20.4" spans="1:23">
      <c r="A22" s="65">
        <v>21</v>
      </c>
      <c r="B22" s="65"/>
      <c r="C22" s="65" t="s">
        <v>136</v>
      </c>
      <c r="D22" s="65" t="s">
        <v>130</v>
      </c>
      <c r="E22" s="65" t="s">
        <v>131</v>
      </c>
      <c r="F22" s="65" t="s">
        <v>137</v>
      </c>
      <c r="G22" s="66" t="s">
        <v>138</v>
      </c>
      <c r="H22" s="66" t="s">
        <v>139</v>
      </c>
      <c r="I22" s="65" t="s">
        <v>37</v>
      </c>
      <c r="J22" s="65"/>
      <c r="K22" s="65"/>
      <c r="L22" s="65" t="s">
        <v>140</v>
      </c>
      <c r="M22" s="65"/>
      <c r="N22" s="73"/>
      <c r="O22" s="73"/>
      <c r="P22" s="73" t="s">
        <v>31</v>
      </c>
      <c r="Q22" s="71"/>
      <c r="R22" s="71"/>
      <c r="S22" s="71"/>
      <c r="T22" s="71"/>
      <c r="U22" s="71"/>
      <c r="V22" s="75"/>
      <c r="W22" s="75"/>
    </row>
    <row r="23" ht="20.4" spans="1:23">
      <c r="A23" s="65">
        <v>22</v>
      </c>
      <c r="B23" s="65"/>
      <c r="C23" s="65" t="s">
        <v>141</v>
      </c>
      <c r="D23" s="65" t="s">
        <v>130</v>
      </c>
      <c r="E23" s="65" t="s">
        <v>131</v>
      </c>
      <c r="F23" s="65" t="s">
        <v>142</v>
      </c>
      <c r="G23" s="66" t="s">
        <v>143</v>
      </c>
      <c r="H23" s="66" t="s">
        <v>144</v>
      </c>
      <c r="I23" s="65" t="s">
        <v>37</v>
      </c>
      <c r="J23" s="65"/>
      <c r="K23" s="65"/>
      <c r="L23" s="71" t="s">
        <v>145</v>
      </c>
      <c r="M23" s="65"/>
      <c r="N23" s="73"/>
      <c r="O23" s="73"/>
      <c r="P23" s="73" t="s">
        <v>31</v>
      </c>
      <c r="Q23" s="71"/>
      <c r="R23" s="71"/>
      <c r="S23" s="71"/>
      <c r="T23" s="71"/>
      <c r="U23" s="71"/>
      <c r="V23" s="75"/>
      <c r="W23" s="75"/>
    </row>
    <row r="24" ht="20.4" spans="1:23">
      <c r="A24" s="65">
        <v>23</v>
      </c>
      <c r="B24" s="65"/>
      <c r="C24" s="65" t="s">
        <v>146</v>
      </c>
      <c r="D24" s="65" t="s">
        <v>130</v>
      </c>
      <c r="E24" s="65" t="s">
        <v>131</v>
      </c>
      <c r="F24" s="65" t="s">
        <v>147</v>
      </c>
      <c r="G24" s="66" t="s">
        <v>148</v>
      </c>
      <c r="H24" s="66" t="s">
        <v>149</v>
      </c>
      <c r="I24" s="65" t="s">
        <v>37</v>
      </c>
      <c r="J24" s="65"/>
      <c r="K24" s="65"/>
      <c r="L24" s="65" t="s">
        <v>71</v>
      </c>
      <c r="M24" s="65"/>
      <c r="N24" s="73"/>
      <c r="O24" s="73"/>
      <c r="P24" s="73" t="s">
        <v>31</v>
      </c>
      <c r="Q24" s="71"/>
      <c r="R24" s="71"/>
      <c r="S24" s="71"/>
      <c r="T24" s="71"/>
      <c r="U24" s="71"/>
      <c r="V24" s="75"/>
      <c r="W24" s="75"/>
    </row>
    <row r="25" ht="20.4" spans="1:23">
      <c r="A25" s="65">
        <v>24</v>
      </c>
      <c r="B25" s="65"/>
      <c r="C25" s="65" t="s">
        <v>150</v>
      </c>
      <c r="D25" s="65" t="s">
        <v>130</v>
      </c>
      <c r="E25" s="65" t="s">
        <v>151</v>
      </c>
      <c r="F25" s="65" t="s">
        <v>152</v>
      </c>
      <c r="G25" s="66" t="s">
        <v>153</v>
      </c>
      <c r="H25" s="66" t="s">
        <v>154</v>
      </c>
      <c r="I25" s="65" t="s">
        <v>29</v>
      </c>
      <c r="J25" s="65"/>
      <c r="K25" s="65"/>
      <c r="L25" s="65" t="s">
        <v>71</v>
      </c>
      <c r="M25" s="65"/>
      <c r="N25" s="73"/>
      <c r="O25" s="73"/>
      <c r="P25" s="73" t="s">
        <v>31</v>
      </c>
      <c r="Q25" s="71"/>
      <c r="R25" s="71"/>
      <c r="S25" s="71"/>
      <c r="T25" s="71"/>
      <c r="U25" s="71"/>
      <c r="V25" s="75"/>
      <c r="W25" s="75"/>
    </row>
    <row r="26" ht="20.4" spans="1:23">
      <c r="A26" s="65">
        <v>25</v>
      </c>
      <c r="B26" s="65"/>
      <c r="C26" s="65" t="s">
        <v>155</v>
      </c>
      <c r="D26" s="65" t="s">
        <v>130</v>
      </c>
      <c r="E26" s="65" t="s">
        <v>156</v>
      </c>
      <c r="F26" s="65" t="s">
        <v>157</v>
      </c>
      <c r="G26" s="66" t="s">
        <v>158</v>
      </c>
      <c r="H26" s="66" t="s">
        <v>159</v>
      </c>
      <c r="I26" s="65" t="s">
        <v>37</v>
      </c>
      <c r="J26" s="65"/>
      <c r="K26" s="65"/>
      <c r="L26" s="65" t="s">
        <v>71</v>
      </c>
      <c r="M26" s="65"/>
      <c r="N26" s="73"/>
      <c r="O26" s="73"/>
      <c r="P26" s="73" t="s">
        <v>31</v>
      </c>
      <c r="Q26" s="71"/>
      <c r="R26" s="71"/>
      <c r="S26" s="71"/>
      <c r="T26" s="71"/>
      <c r="U26" s="71"/>
      <c r="V26" s="75"/>
      <c r="W26" s="75"/>
    </row>
    <row r="27" ht="20.4" spans="1:23">
      <c r="A27" s="65">
        <v>26</v>
      </c>
      <c r="B27" s="65"/>
      <c r="C27" s="65" t="s">
        <v>160</v>
      </c>
      <c r="D27" s="65" t="s">
        <v>130</v>
      </c>
      <c r="E27" s="65" t="s">
        <v>161</v>
      </c>
      <c r="F27" s="65" t="s">
        <v>162</v>
      </c>
      <c r="G27" s="66" t="s">
        <v>163</v>
      </c>
      <c r="H27" s="66" t="s">
        <v>164</v>
      </c>
      <c r="I27" s="65" t="s">
        <v>37</v>
      </c>
      <c r="J27" s="65"/>
      <c r="K27" s="65"/>
      <c r="L27" s="65" t="s">
        <v>71</v>
      </c>
      <c r="M27" s="65"/>
      <c r="N27" s="73"/>
      <c r="O27" s="73"/>
      <c r="P27" s="73" t="s">
        <v>31</v>
      </c>
      <c r="Q27" s="71"/>
      <c r="R27" s="71"/>
      <c r="S27" s="71"/>
      <c r="T27" s="71"/>
      <c r="U27" s="71"/>
      <c r="V27" s="75"/>
      <c r="W27" s="75"/>
    </row>
    <row r="28" ht="20.4" spans="1:23">
      <c r="A28" s="65">
        <v>27</v>
      </c>
      <c r="B28" s="65"/>
      <c r="C28" s="65" t="s">
        <v>165</v>
      </c>
      <c r="D28" s="65" t="s">
        <v>130</v>
      </c>
      <c r="E28" s="65" t="s">
        <v>166</v>
      </c>
      <c r="F28" s="65" t="s">
        <v>167</v>
      </c>
      <c r="G28" s="66" t="s">
        <v>168</v>
      </c>
      <c r="H28" s="66" t="s">
        <v>169</v>
      </c>
      <c r="I28" s="65" t="s">
        <v>170</v>
      </c>
      <c r="J28" s="65"/>
      <c r="K28" s="65"/>
      <c r="L28" s="65" t="s">
        <v>71</v>
      </c>
      <c r="M28" s="65"/>
      <c r="N28" s="73"/>
      <c r="O28" s="73"/>
      <c r="P28" s="73" t="s">
        <v>31</v>
      </c>
      <c r="Q28" s="71"/>
      <c r="R28" s="71"/>
      <c r="S28" s="71"/>
      <c r="T28" s="71"/>
      <c r="U28" s="71"/>
      <c r="V28" s="75"/>
      <c r="W28" s="75"/>
    </row>
    <row r="29" ht="20.4" spans="1:23">
      <c r="A29" s="65">
        <v>28</v>
      </c>
      <c r="B29" s="65"/>
      <c r="C29" s="65" t="s">
        <v>171</v>
      </c>
      <c r="D29" s="65" t="s">
        <v>172</v>
      </c>
      <c r="E29" s="65" t="s">
        <v>173</v>
      </c>
      <c r="F29" s="65" t="s">
        <v>174</v>
      </c>
      <c r="G29" s="66" t="s">
        <v>175</v>
      </c>
      <c r="H29" s="66" t="s">
        <v>176</v>
      </c>
      <c r="I29" s="65" t="s">
        <v>170</v>
      </c>
      <c r="J29" s="65"/>
      <c r="K29" s="65"/>
      <c r="L29" s="65" t="s">
        <v>71</v>
      </c>
      <c r="M29" s="65"/>
      <c r="N29" s="73"/>
      <c r="O29" s="73"/>
      <c r="P29" s="73" t="s">
        <v>31</v>
      </c>
      <c r="Q29" s="71"/>
      <c r="R29" s="71"/>
      <c r="S29" s="71"/>
      <c r="T29" s="71"/>
      <c r="U29" s="71"/>
      <c r="V29" s="75"/>
      <c r="W29" s="75"/>
    </row>
    <row r="30" ht="20.4" spans="1:23">
      <c r="A30" s="65">
        <v>29</v>
      </c>
      <c r="B30" s="65"/>
      <c r="C30" s="65" t="s">
        <v>177</v>
      </c>
      <c r="D30" s="65" t="s">
        <v>172</v>
      </c>
      <c r="E30" s="65" t="s">
        <v>178</v>
      </c>
      <c r="F30" s="65" t="s">
        <v>179</v>
      </c>
      <c r="G30" s="66" t="s">
        <v>180</v>
      </c>
      <c r="H30" s="66" t="s">
        <v>181</v>
      </c>
      <c r="I30" s="65" t="s">
        <v>182</v>
      </c>
      <c r="J30" s="65"/>
      <c r="K30" s="65"/>
      <c r="L30" s="65" t="s">
        <v>71</v>
      </c>
      <c r="M30" s="65"/>
      <c r="N30" s="73"/>
      <c r="O30" s="73"/>
      <c r="P30" s="73" t="s">
        <v>31</v>
      </c>
      <c r="Q30" s="71"/>
      <c r="R30" s="71"/>
      <c r="S30" s="71"/>
      <c r="T30" s="71"/>
      <c r="U30" s="71"/>
      <c r="V30" s="75"/>
      <c r="W30" s="75"/>
    </row>
    <row r="31" ht="20.4" spans="1:23">
      <c r="A31" s="65">
        <v>30</v>
      </c>
      <c r="B31" s="65"/>
      <c r="C31" s="65" t="s">
        <v>183</v>
      </c>
      <c r="D31" s="65" t="s">
        <v>172</v>
      </c>
      <c r="E31" s="65" t="s">
        <v>184</v>
      </c>
      <c r="F31" s="65" t="s">
        <v>185</v>
      </c>
      <c r="G31" s="66" t="s">
        <v>186</v>
      </c>
      <c r="H31" s="66" t="s">
        <v>187</v>
      </c>
      <c r="I31" s="65" t="s">
        <v>188</v>
      </c>
      <c r="J31" s="65"/>
      <c r="K31" s="65"/>
      <c r="L31" s="65" t="s">
        <v>71</v>
      </c>
      <c r="M31" s="65"/>
      <c r="N31" s="73"/>
      <c r="O31" s="73"/>
      <c r="P31" s="73" t="s">
        <v>31</v>
      </c>
      <c r="Q31" s="71"/>
      <c r="R31" s="71"/>
      <c r="S31" s="71"/>
      <c r="T31" s="71"/>
      <c r="U31" s="71"/>
      <c r="V31" s="75"/>
      <c r="W31" s="75"/>
    </row>
    <row r="32" ht="20.4" spans="1:23">
      <c r="A32" s="65">
        <v>31</v>
      </c>
      <c r="B32" s="65"/>
      <c r="C32" s="65" t="s">
        <v>189</v>
      </c>
      <c r="D32" s="65" t="s">
        <v>172</v>
      </c>
      <c r="E32" s="65" t="s">
        <v>190</v>
      </c>
      <c r="F32" s="65" t="s">
        <v>191</v>
      </c>
      <c r="G32" s="66" t="s">
        <v>192</v>
      </c>
      <c r="H32" s="66" t="s">
        <v>193</v>
      </c>
      <c r="I32" s="65" t="s">
        <v>29</v>
      </c>
      <c r="J32" s="65"/>
      <c r="K32" s="65"/>
      <c r="L32" s="65" t="s">
        <v>71</v>
      </c>
      <c r="M32" s="65"/>
      <c r="N32" s="73"/>
      <c r="O32" s="73"/>
      <c r="P32" s="73" t="s">
        <v>31</v>
      </c>
      <c r="Q32" s="71"/>
      <c r="R32" s="71"/>
      <c r="S32" s="71"/>
      <c r="T32" s="71"/>
      <c r="U32" s="71"/>
      <c r="V32" s="75"/>
      <c r="W32" s="75"/>
    </row>
    <row r="33" ht="20.4" spans="1:23">
      <c r="A33" s="65">
        <v>32</v>
      </c>
      <c r="B33" s="65"/>
      <c r="C33" s="65" t="s">
        <v>194</v>
      </c>
      <c r="D33" s="65" t="s">
        <v>172</v>
      </c>
      <c r="E33" s="65" t="s">
        <v>195</v>
      </c>
      <c r="F33" s="65" t="s">
        <v>196</v>
      </c>
      <c r="G33" s="66" t="s">
        <v>197</v>
      </c>
      <c r="H33" s="66" t="s">
        <v>198</v>
      </c>
      <c r="I33" s="65" t="s">
        <v>199</v>
      </c>
      <c r="J33" s="65"/>
      <c r="K33" s="65"/>
      <c r="L33" s="65" t="s">
        <v>71</v>
      </c>
      <c r="M33" s="65"/>
      <c r="N33" s="73"/>
      <c r="O33" s="73"/>
      <c r="P33" s="73" t="s">
        <v>31</v>
      </c>
      <c r="Q33" s="71"/>
      <c r="R33" s="71"/>
      <c r="S33" s="73"/>
      <c r="T33" s="71"/>
      <c r="U33" s="71"/>
      <c r="V33" s="75"/>
      <c r="W33" s="75"/>
    </row>
    <row r="34" ht="20.4" spans="1:23">
      <c r="A34" s="65">
        <v>33</v>
      </c>
      <c r="B34" s="65"/>
      <c r="C34" s="65" t="s">
        <v>200</v>
      </c>
      <c r="D34" s="65" t="s">
        <v>172</v>
      </c>
      <c r="E34" s="65" t="s">
        <v>201</v>
      </c>
      <c r="F34" s="65" t="s">
        <v>202</v>
      </c>
      <c r="G34" s="66" t="s">
        <v>203</v>
      </c>
      <c r="H34" s="66" t="s">
        <v>204</v>
      </c>
      <c r="I34" s="65" t="s">
        <v>205</v>
      </c>
      <c r="J34" s="65"/>
      <c r="K34" s="65"/>
      <c r="L34" s="65" t="s">
        <v>71</v>
      </c>
      <c r="M34" s="65"/>
      <c r="N34" s="73"/>
      <c r="O34" s="73"/>
      <c r="P34" s="73" t="s">
        <v>31</v>
      </c>
      <c r="Q34" s="71"/>
      <c r="R34" s="71"/>
      <c r="S34" s="71"/>
      <c r="T34" s="71"/>
      <c r="U34" s="71"/>
      <c r="V34" s="75"/>
      <c r="W34" s="75"/>
    </row>
    <row r="35" ht="20.4" spans="1:23">
      <c r="A35" s="65">
        <v>34</v>
      </c>
      <c r="B35" s="65"/>
      <c r="C35" s="65" t="s">
        <v>206</v>
      </c>
      <c r="D35" s="65" t="s">
        <v>172</v>
      </c>
      <c r="E35" s="65" t="s">
        <v>207</v>
      </c>
      <c r="F35" s="65" t="s">
        <v>208</v>
      </c>
      <c r="G35" s="66" t="s">
        <v>209</v>
      </c>
      <c r="H35" s="66" t="s">
        <v>210</v>
      </c>
      <c r="I35" s="65" t="s">
        <v>211</v>
      </c>
      <c r="J35" s="65"/>
      <c r="K35" s="65"/>
      <c r="L35" s="65" t="s">
        <v>71</v>
      </c>
      <c r="M35" s="65"/>
      <c r="N35" s="73"/>
      <c r="O35" s="73"/>
      <c r="P35" s="73" t="s">
        <v>31</v>
      </c>
      <c r="Q35" s="71"/>
      <c r="R35" s="71"/>
      <c r="S35" s="71"/>
      <c r="T35" s="71"/>
      <c r="U35" s="71"/>
      <c r="V35" s="75"/>
      <c r="W35" s="75"/>
    </row>
    <row r="36" ht="20.4" spans="1:23">
      <c r="A36" s="65">
        <v>35</v>
      </c>
      <c r="B36" s="65"/>
      <c r="C36" s="65" t="s">
        <v>212</v>
      </c>
      <c r="D36" s="65" t="s">
        <v>172</v>
      </c>
      <c r="E36" s="65" t="s">
        <v>213</v>
      </c>
      <c r="F36" s="65" t="s">
        <v>214</v>
      </c>
      <c r="G36" s="66" t="s">
        <v>215</v>
      </c>
      <c r="H36" s="66" t="s">
        <v>216</v>
      </c>
      <c r="I36" s="65" t="s">
        <v>199</v>
      </c>
      <c r="J36" s="65"/>
      <c r="K36" s="65"/>
      <c r="L36" s="65" t="s">
        <v>71</v>
      </c>
      <c r="M36" s="65"/>
      <c r="N36" s="73"/>
      <c r="O36" s="73"/>
      <c r="P36" s="73" t="s">
        <v>31</v>
      </c>
      <c r="Q36" s="71"/>
      <c r="R36" s="71"/>
      <c r="S36" s="71"/>
      <c r="T36" s="71"/>
      <c r="U36" s="71"/>
      <c r="V36" s="75"/>
      <c r="W36" s="75"/>
    </row>
    <row r="37" ht="20.4" spans="1:23">
      <c r="A37" s="65">
        <v>36</v>
      </c>
      <c r="B37" s="65"/>
      <c r="C37" s="65" t="s">
        <v>217</v>
      </c>
      <c r="D37" s="65" t="s">
        <v>172</v>
      </c>
      <c r="E37" s="65" t="s">
        <v>218</v>
      </c>
      <c r="F37" s="65" t="s">
        <v>219</v>
      </c>
      <c r="G37" s="66" t="s">
        <v>220</v>
      </c>
      <c r="H37" s="66" t="s">
        <v>221</v>
      </c>
      <c r="I37" s="65" t="s">
        <v>37</v>
      </c>
      <c r="J37" s="65"/>
      <c r="K37" s="65"/>
      <c r="L37" s="65" t="s">
        <v>222</v>
      </c>
      <c r="M37" s="65"/>
      <c r="N37" s="73"/>
      <c r="O37" s="73"/>
      <c r="P37" s="73" t="s">
        <v>31</v>
      </c>
      <c r="Q37" s="71"/>
      <c r="R37" s="71"/>
      <c r="S37" s="71"/>
      <c r="T37" s="71"/>
      <c r="U37" s="71"/>
      <c r="V37" s="75"/>
      <c r="W37" s="75"/>
    </row>
    <row r="38" ht="20.4" spans="1:23">
      <c r="A38" s="65">
        <v>37</v>
      </c>
      <c r="B38" s="65"/>
      <c r="C38" s="65" t="s">
        <v>223</v>
      </c>
      <c r="D38" s="65" t="s">
        <v>172</v>
      </c>
      <c r="E38" s="65" t="s">
        <v>218</v>
      </c>
      <c r="F38" s="65" t="s">
        <v>224</v>
      </c>
      <c r="G38" s="66" t="s">
        <v>225</v>
      </c>
      <c r="H38" s="66" t="s">
        <v>226</v>
      </c>
      <c r="I38" s="65" t="s">
        <v>37</v>
      </c>
      <c r="J38" s="65"/>
      <c r="K38" s="65"/>
      <c r="L38" s="65" t="s">
        <v>222</v>
      </c>
      <c r="M38" s="65"/>
      <c r="N38" s="73"/>
      <c r="O38" s="73"/>
      <c r="P38" s="73" t="s">
        <v>31</v>
      </c>
      <c r="Q38" s="71"/>
      <c r="R38" s="71"/>
      <c r="S38" s="71"/>
      <c r="T38" s="71"/>
      <c r="U38" s="71"/>
      <c r="V38" s="75"/>
      <c r="W38" s="75"/>
    </row>
    <row r="39" ht="20.4" spans="1:23">
      <c r="A39" s="65">
        <v>38</v>
      </c>
      <c r="B39" s="65"/>
      <c r="C39" s="65" t="s">
        <v>227</v>
      </c>
      <c r="D39" s="65" t="s">
        <v>172</v>
      </c>
      <c r="E39" s="65" t="s">
        <v>218</v>
      </c>
      <c r="F39" s="65" t="s">
        <v>228</v>
      </c>
      <c r="G39" s="66" t="s">
        <v>229</v>
      </c>
      <c r="H39" s="66" t="s">
        <v>230</v>
      </c>
      <c r="I39" s="65" t="s">
        <v>37</v>
      </c>
      <c r="J39" s="65"/>
      <c r="K39" s="65"/>
      <c r="L39" s="65" t="s">
        <v>231</v>
      </c>
      <c r="M39" s="65"/>
      <c r="N39" s="73"/>
      <c r="O39" s="73"/>
      <c r="P39" s="73" t="s">
        <v>31</v>
      </c>
      <c r="Q39" s="71"/>
      <c r="R39" s="71"/>
      <c r="S39" s="71"/>
      <c r="T39" s="71"/>
      <c r="U39" s="71"/>
      <c r="V39" s="75"/>
      <c r="W39" s="75"/>
    </row>
    <row r="40" ht="20.4" spans="1:23">
      <c r="A40" s="65">
        <v>39</v>
      </c>
      <c r="B40" s="65"/>
      <c r="C40" s="65" t="s">
        <v>232</v>
      </c>
      <c r="D40" s="65" t="s">
        <v>172</v>
      </c>
      <c r="E40" s="65" t="s">
        <v>218</v>
      </c>
      <c r="F40" s="65" t="s">
        <v>233</v>
      </c>
      <c r="G40" s="66" t="s">
        <v>234</v>
      </c>
      <c r="H40" s="66" t="s">
        <v>235</v>
      </c>
      <c r="I40" s="65" t="s">
        <v>37</v>
      </c>
      <c r="J40" s="65"/>
      <c r="K40" s="65"/>
      <c r="L40" s="65" t="s">
        <v>236</v>
      </c>
      <c r="M40" s="65"/>
      <c r="N40" s="73"/>
      <c r="O40" s="73"/>
      <c r="P40" s="73" t="s">
        <v>31</v>
      </c>
      <c r="Q40" s="71"/>
      <c r="R40" s="71"/>
      <c r="S40" s="71"/>
      <c r="T40" s="71"/>
      <c r="U40" s="71"/>
      <c r="V40" s="75"/>
      <c r="W40" s="75"/>
    </row>
    <row r="41" ht="20.4" spans="1:23">
      <c r="A41" s="65">
        <v>40</v>
      </c>
      <c r="B41" s="65"/>
      <c r="C41" s="65" t="s">
        <v>237</v>
      </c>
      <c r="D41" s="65" t="s">
        <v>172</v>
      </c>
      <c r="E41" s="65" t="s">
        <v>218</v>
      </c>
      <c r="F41" s="65" t="s">
        <v>238</v>
      </c>
      <c r="G41" s="66" t="s">
        <v>239</v>
      </c>
      <c r="H41" s="66" t="s">
        <v>240</v>
      </c>
      <c r="I41" s="65" t="s">
        <v>37</v>
      </c>
      <c r="J41" s="65"/>
      <c r="K41" s="65"/>
      <c r="L41" s="65" t="s">
        <v>241</v>
      </c>
      <c r="M41" s="65"/>
      <c r="N41" s="73"/>
      <c r="O41" s="73"/>
      <c r="P41" s="73" t="s">
        <v>31</v>
      </c>
      <c r="Q41" s="71"/>
      <c r="R41" s="71"/>
      <c r="S41" s="71"/>
      <c r="T41" s="71"/>
      <c r="U41" s="71"/>
      <c r="V41" s="75"/>
      <c r="W41" s="75"/>
    </row>
    <row r="42" ht="20.4" spans="1:23">
      <c r="A42" s="65">
        <v>41</v>
      </c>
      <c r="B42" s="65"/>
      <c r="C42" s="65" t="s">
        <v>242</v>
      </c>
      <c r="D42" s="65" t="s">
        <v>172</v>
      </c>
      <c r="E42" s="65" t="s">
        <v>218</v>
      </c>
      <c r="F42" s="65" t="s">
        <v>243</v>
      </c>
      <c r="G42" s="66" t="s">
        <v>244</v>
      </c>
      <c r="H42" s="66" t="s">
        <v>245</v>
      </c>
      <c r="I42" s="65" t="s">
        <v>37</v>
      </c>
      <c r="J42" s="65"/>
      <c r="K42" s="65"/>
      <c r="L42" s="65" t="s">
        <v>71</v>
      </c>
      <c r="M42" s="65"/>
      <c r="N42" s="73"/>
      <c r="O42" s="73"/>
      <c r="P42" s="73" t="s">
        <v>31</v>
      </c>
      <c r="Q42" s="71"/>
      <c r="R42" s="71"/>
      <c r="S42" s="71"/>
      <c r="T42" s="71"/>
      <c r="U42" s="71"/>
      <c r="V42" s="75"/>
      <c r="W42" s="75"/>
    </row>
    <row r="43" ht="20.4" spans="1:23">
      <c r="A43" s="65">
        <v>42</v>
      </c>
      <c r="B43" s="65"/>
      <c r="C43" s="65" t="s">
        <v>246</v>
      </c>
      <c r="D43" s="65" t="s">
        <v>172</v>
      </c>
      <c r="E43" s="65" t="s">
        <v>218</v>
      </c>
      <c r="F43" s="65" t="s">
        <v>247</v>
      </c>
      <c r="G43" s="66" t="s">
        <v>248</v>
      </c>
      <c r="H43" s="66" t="s">
        <v>249</v>
      </c>
      <c r="I43" s="65" t="s">
        <v>37</v>
      </c>
      <c r="J43" s="65"/>
      <c r="K43" s="65"/>
      <c r="L43" s="65" t="s">
        <v>71</v>
      </c>
      <c r="M43" s="65"/>
      <c r="N43" s="73"/>
      <c r="O43" s="73"/>
      <c r="P43" s="73" t="s">
        <v>31</v>
      </c>
      <c r="Q43" s="71"/>
      <c r="R43" s="71"/>
      <c r="S43" s="71"/>
      <c r="T43" s="71"/>
      <c r="U43" s="71"/>
      <c r="V43" s="75"/>
      <c r="W43" s="75"/>
    </row>
    <row r="44" ht="20.4" spans="1:23">
      <c r="A44" s="65">
        <v>43</v>
      </c>
      <c r="B44" s="65"/>
      <c r="C44" s="65" t="s">
        <v>250</v>
      </c>
      <c r="D44" s="65" t="s">
        <v>172</v>
      </c>
      <c r="E44" s="65" t="s">
        <v>218</v>
      </c>
      <c r="F44" s="65" t="s">
        <v>251</v>
      </c>
      <c r="G44" s="66" t="s">
        <v>252</v>
      </c>
      <c r="H44" s="66" t="s">
        <v>253</v>
      </c>
      <c r="I44" s="65" t="s">
        <v>37</v>
      </c>
      <c r="J44" s="65"/>
      <c r="K44" s="65"/>
      <c r="L44" s="65" t="s">
        <v>71</v>
      </c>
      <c r="M44" s="65"/>
      <c r="N44" s="73"/>
      <c r="O44" s="73"/>
      <c r="P44" s="73" t="s">
        <v>31</v>
      </c>
      <c r="Q44" s="71"/>
      <c r="R44" s="71"/>
      <c r="S44" s="71"/>
      <c r="T44" s="71"/>
      <c r="U44" s="71"/>
      <c r="V44" s="75"/>
      <c r="W44" s="75"/>
    </row>
    <row r="45" ht="20.4" spans="1:23">
      <c r="A45" s="65">
        <v>44</v>
      </c>
      <c r="B45" s="65"/>
      <c r="C45" s="65" t="s">
        <v>254</v>
      </c>
      <c r="D45" s="65" t="s">
        <v>172</v>
      </c>
      <c r="E45" s="65" t="s">
        <v>218</v>
      </c>
      <c r="F45" s="65" t="s">
        <v>255</v>
      </c>
      <c r="G45" s="66" t="s">
        <v>256</v>
      </c>
      <c r="H45" s="66" t="s">
        <v>257</v>
      </c>
      <c r="I45" s="65" t="s">
        <v>37</v>
      </c>
      <c r="J45" s="65"/>
      <c r="K45" s="65"/>
      <c r="L45" s="65" t="s">
        <v>71</v>
      </c>
      <c r="M45" s="65"/>
      <c r="N45" s="73"/>
      <c r="O45" s="73"/>
      <c r="P45" s="73" t="s">
        <v>31</v>
      </c>
      <c r="Q45" s="71"/>
      <c r="R45" s="71"/>
      <c r="S45" s="71"/>
      <c r="T45" s="71"/>
      <c r="U45" s="71"/>
      <c r="V45" s="75"/>
      <c r="W45" s="75"/>
    </row>
    <row r="46" ht="20.4" spans="1:23">
      <c r="A46" s="65">
        <v>45</v>
      </c>
      <c r="B46" s="65"/>
      <c r="C46" s="65" t="s">
        <v>258</v>
      </c>
      <c r="D46" s="65" t="s">
        <v>172</v>
      </c>
      <c r="E46" s="65" t="s">
        <v>218</v>
      </c>
      <c r="F46" s="65" t="s">
        <v>259</v>
      </c>
      <c r="G46" s="66" t="s">
        <v>260</v>
      </c>
      <c r="H46" s="66" t="s">
        <v>261</v>
      </c>
      <c r="I46" s="65" t="s">
        <v>37</v>
      </c>
      <c r="J46" s="65"/>
      <c r="K46" s="65"/>
      <c r="L46" s="65" t="s">
        <v>71</v>
      </c>
      <c r="M46" s="65"/>
      <c r="N46" s="73"/>
      <c r="O46" s="73"/>
      <c r="P46" s="73" t="s">
        <v>31</v>
      </c>
      <c r="Q46" s="71"/>
      <c r="R46" s="71"/>
      <c r="S46" s="71"/>
      <c r="T46" s="71"/>
      <c r="U46" s="71"/>
      <c r="V46" s="75"/>
      <c r="W46" s="75"/>
    </row>
    <row r="47" ht="20.4" spans="1:23">
      <c r="A47" s="65">
        <v>46</v>
      </c>
      <c r="B47" s="65"/>
      <c r="C47" s="65" t="s">
        <v>262</v>
      </c>
      <c r="D47" s="65" t="s">
        <v>172</v>
      </c>
      <c r="E47" s="65" t="s">
        <v>218</v>
      </c>
      <c r="F47" s="65" t="s">
        <v>263</v>
      </c>
      <c r="G47" s="66" t="s">
        <v>264</v>
      </c>
      <c r="H47" s="66" t="s">
        <v>265</v>
      </c>
      <c r="I47" s="65" t="s">
        <v>37</v>
      </c>
      <c r="J47" s="65"/>
      <c r="K47" s="65"/>
      <c r="L47" s="65" t="s">
        <v>71</v>
      </c>
      <c r="M47" s="65"/>
      <c r="N47" s="73"/>
      <c r="O47" s="73"/>
      <c r="P47" s="73" t="s">
        <v>31</v>
      </c>
      <c r="Q47" s="71"/>
      <c r="R47" s="71"/>
      <c r="S47" s="71"/>
      <c r="T47" s="71"/>
      <c r="U47" s="71"/>
      <c r="V47" s="75"/>
      <c r="W47" s="75"/>
    </row>
    <row r="48" ht="20.4" spans="1:23">
      <c r="A48" s="65">
        <v>47</v>
      </c>
      <c r="B48" s="65"/>
      <c r="C48" s="65" t="s">
        <v>266</v>
      </c>
      <c r="D48" s="65" t="s">
        <v>172</v>
      </c>
      <c r="E48" s="65" t="s">
        <v>218</v>
      </c>
      <c r="F48" s="65" t="s">
        <v>267</v>
      </c>
      <c r="G48" s="66" t="s">
        <v>268</v>
      </c>
      <c r="H48" s="66" t="s">
        <v>269</v>
      </c>
      <c r="I48" s="65" t="s">
        <v>37</v>
      </c>
      <c r="J48" s="65"/>
      <c r="K48" s="65"/>
      <c r="L48" s="65" t="s">
        <v>71</v>
      </c>
      <c r="M48" s="65"/>
      <c r="N48" s="73"/>
      <c r="O48" s="73"/>
      <c r="P48" s="73" t="s">
        <v>31</v>
      </c>
      <c r="Q48" s="71"/>
      <c r="R48" s="71"/>
      <c r="S48" s="71"/>
      <c r="T48" s="71"/>
      <c r="U48" s="71"/>
      <c r="V48" s="75"/>
      <c r="W48" s="75"/>
    </row>
    <row r="49" ht="20.4" spans="1:23">
      <c r="A49" s="65">
        <v>48</v>
      </c>
      <c r="B49" s="65"/>
      <c r="C49" s="65" t="s">
        <v>270</v>
      </c>
      <c r="D49" s="65" t="s">
        <v>172</v>
      </c>
      <c r="E49" s="65" t="s">
        <v>271</v>
      </c>
      <c r="F49" s="65" t="s">
        <v>272</v>
      </c>
      <c r="G49" s="66" t="s">
        <v>273</v>
      </c>
      <c r="H49" s="66" t="s">
        <v>274</v>
      </c>
      <c r="I49" s="65" t="s">
        <v>275</v>
      </c>
      <c r="J49" s="65"/>
      <c r="K49" s="65"/>
      <c r="L49" s="65" t="s">
        <v>276</v>
      </c>
      <c r="M49" s="65"/>
      <c r="N49" s="73"/>
      <c r="O49" s="73"/>
      <c r="P49" s="73" t="s">
        <v>31</v>
      </c>
      <c r="Q49" s="71"/>
      <c r="R49" s="71"/>
      <c r="S49" s="71"/>
      <c r="T49" s="71"/>
      <c r="U49" s="71"/>
      <c r="V49" s="75"/>
      <c r="W49" s="75"/>
    </row>
    <row r="50" ht="20.4" spans="1:23">
      <c r="A50" s="65">
        <v>49</v>
      </c>
      <c r="B50" s="65"/>
      <c r="C50" s="65" t="s">
        <v>277</v>
      </c>
      <c r="D50" s="65" t="s">
        <v>172</v>
      </c>
      <c r="E50" s="65" t="s">
        <v>271</v>
      </c>
      <c r="F50" s="65" t="s">
        <v>278</v>
      </c>
      <c r="G50" s="66" t="s">
        <v>279</v>
      </c>
      <c r="H50" s="66" t="s">
        <v>280</v>
      </c>
      <c r="I50" s="65" t="s">
        <v>275</v>
      </c>
      <c r="J50" s="65"/>
      <c r="K50" s="65"/>
      <c r="L50" s="65" t="s">
        <v>276</v>
      </c>
      <c r="M50" s="65"/>
      <c r="N50" s="73"/>
      <c r="O50" s="73"/>
      <c r="P50" s="73" t="s">
        <v>31</v>
      </c>
      <c r="Q50" s="71"/>
      <c r="R50" s="71"/>
      <c r="S50" s="71"/>
      <c r="T50" s="71"/>
      <c r="U50" s="71"/>
      <c r="V50" s="75"/>
      <c r="W50" s="75"/>
    </row>
    <row r="51" ht="20.4" spans="1:23">
      <c r="A51" s="65">
        <v>50</v>
      </c>
      <c r="B51" s="65"/>
      <c r="C51" s="65" t="s">
        <v>281</v>
      </c>
      <c r="D51" s="65" t="s">
        <v>172</v>
      </c>
      <c r="E51" s="65" t="s">
        <v>271</v>
      </c>
      <c r="F51" s="65" t="s">
        <v>282</v>
      </c>
      <c r="G51" s="66" t="s">
        <v>283</v>
      </c>
      <c r="H51" s="66" t="s">
        <v>284</v>
      </c>
      <c r="I51" s="65" t="s">
        <v>275</v>
      </c>
      <c r="J51" s="65"/>
      <c r="K51" s="65"/>
      <c r="L51" s="65" t="s">
        <v>276</v>
      </c>
      <c r="M51" s="65"/>
      <c r="N51" s="73"/>
      <c r="O51" s="73"/>
      <c r="P51" s="73" t="s">
        <v>31</v>
      </c>
      <c r="Q51" s="71"/>
      <c r="R51" s="71"/>
      <c r="S51" s="71"/>
      <c r="T51" s="71"/>
      <c r="U51" s="71"/>
      <c r="V51" s="75"/>
      <c r="W51" s="75"/>
    </row>
    <row r="52" ht="20.4" spans="1:23">
      <c r="A52" s="65">
        <v>51</v>
      </c>
      <c r="B52" s="65"/>
      <c r="C52" s="65" t="s">
        <v>285</v>
      </c>
      <c r="D52" s="65" t="s">
        <v>172</v>
      </c>
      <c r="E52" s="65" t="s">
        <v>271</v>
      </c>
      <c r="F52" s="65" t="s">
        <v>286</v>
      </c>
      <c r="G52" s="66" t="s">
        <v>287</v>
      </c>
      <c r="H52" s="66" t="s">
        <v>288</v>
      </c>
      <c r="I52" s="65" t="s">
        <v>275</v>
      </c>
      <c r="J52" s="65"/>
      <c r="K52" s="65"/>
      <c r="L52" s="65" t="s">
        <v>276</v>
      </c>
      <c r="M52" s="65"/>
      <c r="N52" s="73"/>
      <c r="O52" s="73"/>
      <c r="P52" s="73" t="s">
        <v>31</v>
      </c>
      <c r="Q52" s="71"/>
      <c r="R52" s="71"/>
      <c r="S52" s="71"/>
      <c r="T52" s="71"/>
      <c r="U52" s="71"/>
      <c r="V52" s="75"/>
      <c r="W52" s="75"/>
    </row>
    <row r="53" ht="20.4" spans="1:23">
      <c r="A53" s="65">
        <v>52</v>
      </c>
      <c r="B53" s="65"/>
      <c r="C53" s="65" t="s">
        <v>289</v>
      </c>
      <c r="D53" s="65" t="s">
        <v>172</v>
      </c>
      <c r="E53" s="65" t="s">
        <v>271</v>
      </c>
      <c r="F53" s="65" t="s">
        <v>290</v>
      </c>
      <c r="G53" s="66" t="s">
        <v>291</v>
      </c>
      <c r="H53" s="66" t="s">
        <v>292</v>
      </c>
      <c r="I53" s="65" t="s">
        <v>275</v>
      </c>
      <c r="J53" s="65"/>
      <c r="K53" s="65"/>
      <c r="L53" s="65" t="s">
        <v>276</v>
      </c>
      <c r="M53" s="65"/>
      <c r="N53" s="73"/>
      <c r="O53" s="73"/>
      <c r="P53" s="73" t="s">
        <v>31</v>
      </c>
      <c r="Q53" s="71"/>
      <c r="R53" s="71"/>
      <c r="S53" s="71"/>
      <c r="T53" s="71"/>
      <c r="U53" s="71"/>
      <c r="V53" s="75"/>
      <c r="W53" s="75"/>
    </row>
    <row r="56" spans="5:14">
      <c r="E56" s="67"/>
      <c r="F56" s="67"/>
      <c r="G56" s="67"/>
      <c r="H56" s="67"/>
      <c r="I56" s="67"/>
      <c r="J56" s="67"/>
      <c r="K56" s="67"/>
      <c r="L56" s="67"/>
      <c r="M56" s="67"/>
      <c r="N56" s="67"/>
    </row>
    <row r="57" spans="5:14">
      <c r="E57" s="67"/>
      <c r="F57" s="67"/>
      <c r="G57" s="67"/>
      <c r="H57" s="67"/>
      <c r="I57" s="67"/>
      <c r="J57" s="67"/>
      <c r="K57" s="67"/>
      <c r="L57" s="67"/>
      <c r="M57" s="67"/>
      <c r="N57" s="67"/>
    </row>
    <row r="58" spans="5:14">
      <c r="E58" s="67"/>
      <c r="F58" s="68"/>
      <c r="G58" s="68"/>
      <c r="H58" s="68"/>
      <c r="I58" s="68"/>
      <c r="J58" s="68"/>
      <c r="K58" s="68"/>
      <c r="L58" s="68"/>
      <c r="M58" s="68"/>
      <c r="N58" s="67"/>
    </row>
    <row r="59" spans="5:14">
      <c r="E59" s="67"/>
      <c r="F59" s="69"/>
      <c r="G59" s="69"/>
      <c r="H59" s="69"/>
      <c r="I59" s="69"/>
      <c r="J59" s="69"/>
      <c r="K59" s="69"/>
      <c r="L59" s="69"/>
      <c r="M59" s="69"/>
      <c r="N59" s="67"/>
    </row>
    <row r="60" spans="5:14">
      <c r="E60" s="67"/>
      <c r="F60" s="70"/>
      <c r="G60" s="70"/>
      <c r="H60" s="70"/>
      <c r="I60" s="70"/>
      <c r="J60" s="70"/>
      <c r="K60" s="70"/>
      <c r="L60" s="70"/>
      <c r="M60" s="70"/>
      <c r="N60" s="67"/>
    </row>
    <row r="61" spans="5:14">
      <c r="E61" s="67"/>
      <c r="F61" s="69"/>
      <c r="G61" s="69"/>
      <c r="H61" s="69"/>
      <c r="I61" s="69"/>
      <c r="J61" s="69"/>
      <c r="K61" s="69"/>
      <c r="L61" s="69"/>
      <c r="M61" s="69"/>
      <c r="N61" s="67"/>
    </row>
    <row r="62" spans="5:14">
      <c r="E62" s="67"/>
      <c r="F62" s="69"/>
      <c r="G62" s="69"/>
      <c r="H62" s="69"/>
      <c r="I62" s="69"/>
      <c r="J62" s="69"/>
      <c r="K62" s="69"/>
      <c r="L62" s="69"/>
      <c r="M62" s="69"/>
      <c r="N62" s="67"/>
    </row>
    <row r="63" ht="17.6" spans="5:14">
      <c r="E63" s="67"/>
      <c r="F63" s="69"/>
      <c r="G63" s="69"/>
      <c r="H63" s="69"/>
      <c r="I63" s="69"/>
      <c r="J63" s="69"/>
      <c r="K63" s="69"/>
      <c r="L63" s="72"/>
      <c r="M63" s="69"/>
      <c r="N63" s="67"/>
    </row>
    <row r="64" ht="17.6" spans="5:14">
      <c r="E64" s="67"/>
      <c r="F64" s="69"/>
      <c r="G64" s="69"/>
      <c r="H64" s="69"/>
      <c r="I64" s="69"/>
      <c r="J64" s="69"/>
      <c r="K64" s="69"/>
      <c r="L64" s="72"/>
      <c r="M64" s="69"/>
      <c r="N64" s="67"/>
    </row>
    <row r="65" ht="17.6" spans="5:14">
      <c r="E65" s="67"/>
      <c r="F65" s="69"/>
      <c r="G65" s="69"/>
      <c r="H65" s="69"/>
      <c r="I65" s="69"/>
      <c r="J65" s="69"/>
      <c r="K65" s="69"/>
      <c r="L65" s="72"/>
      <c r="M65" s="69"/>
      <c r="N65" s="67"/>
    </row>
    <row r="66" spans="5:14">
      <c r="E66" s="67"/>
      <c r="F66" s="70"/>
      <c r="G66" s="70"/>
      <c r="H66" s="70"/>
      <c r="I66" s="70"/>
      <c r="J66" s="70"/>
      <c r="K66" s="70"/>
      <c r="L66" s="70"/>
      <c r="M66" s="70"/>
      <c r="N66" s="67"/>
    </row>
    <row r="67" spans="5:14">
      <c r="E67" s="67"/>
      <c r="F67" s="69"/>
      <c r="G67" s="69"/>
      <c r="H67" s="69"/>
      <c r="I67" s="69"/>
      <c r="J67" s="69"/>
      <c r="K67" s="69"/>
      <c r="L67" s="78"/>
      <c r="M67" s="69"/>
      <c r="N67" s="67"/>
    </row>
    <row r="68" spans="5:14">
      <c r="E68" s="67"/>
      <c r="F68" s="69"/>
      <c r="G68" s="69"/>
      <c r="H68" s="69"/>
      <c r="I68" s="69"/>
      <c r="J68" s="69"/>
      <c r="K68" s="69"/>
      <c r="L68" s="78"/>
      <c r="M68" s="69"/>
      <c r="N68" s="67"/>
    </row>
    <row r="69" spans="5:14">
      <c r="E69" s="67"/>
      <c r="F69" s="69"/>
      <c r="G69" s="69"/>
      <c r="H69" s="69"/>
      <c r="I69" s="69"/>
      <c r="J69" s="69"/>
      <c r="K69" s="69"/>
      <c r="L69" s="78"/>
      <c r="M69" s="69"/>
      <c r="N69" s="67"/>
    </row>
    <row r="70" spans="5:14">
      <c r="E70" s="67"/>
      <c r="F70" s="69"/>
      <c r="G70" s="69"/>
      <c r="H70" s="69"/>
      <c r="I70" s="69"/>
      <c r="J70" s="69"/>
      <c r="K70" s="69"/>
      <c r="L70" s="78"/>
      <c r="M70" s="69"/>
      <c r="N70" s="67"/>
    </row>
    <row r="71" spans="5:14">
      <c r="E71" s="67"/>
      <c r="F71" s="69"/>
      <c r="G71" s="69"/>
      <c r="H71" s="69"/>
      <c r="I71" s="69"/>
      <c r="J71" s="69"/>
      <c r="K71" s="69"/>
      <c r="L71" s="78"/>
      <c r="M71" s="69"/>
      <c r="N71" s="67"/>
    </row>
    <row r="72" spans="5:14">
      <c r="E72" s="67"/>
      <c r="F72" s="69"/>
      <c r="G72" s="69"/>
      <c r="H72" s="69"/>
      <c r="I72" s="69"/>
      <c r="J72" s="69"/>
      <c r="K72" s="69"/>
      <c r="L72" s="78"/>
      <c r="M72" s="69"/>
      <c r="N72" s="67"/>
    </row>
    <row r="73" spans="5:14">
      <c r="E73" s="67"/>
      <c r="F73" s="69"/>
      <c r="G73" s="69"/>
      <c r="H73" s="69"/>
      <c r="I73" s="69"/>
      <c r="J73" s="69"/>
      <c r="K73" s="69"/>
      <c r="L73" s="78"/>
      <c r="M73" s="69"/>
      <c r="N73" s="67"/>
    </row>
    <row r="74" spans="5:14">
      <c r="E74" s="67"/>
      <c r="F74" s="69"/>
      <c r="G74" s="69"/>
      <c r="H74" s="69"/>
      <c r="I74" s="69"/>
      <c r="J74" s="69"/>
      <c r="K74" s="69"/>
      <c r="L74" s="78"/>
      <c r="M74" s="69"/>
      <c r="N74" s="67"/>
    </row>
    <row r="75" spans="5:14">
      <c r="E75" s="67"/>
      <c r="F75" s="69"/>
      <c r="G75" s="69"/>
      <c r="H75" s="69"/>
      <c r="I75" s="69"/>
      <c r="J75" s="69"/>
      <c r="K75" s="69"/>
      <c r="L75" s="78"/>
      <c r="M75" s="69"/>
      <c r="N75" s="67"/>
    </row>
    <row r="76" spans="5:14">
      <c r="E76" s="67"/>
      <c r="F76" s="69"/>
      <c r="G76" s="69"/>
      <c r="H76" s="69"/>
      <c r="I76" s="69"/>
      <c r="J76" s="69"/>
      <c r="K76" s="69"/>
      <c r="L76" s="78"/>
      <c r="M76" s="69"/>
      <c r="N76" s="67"/>
    </row>
    <row r="77" spans="5:14">
      <c r="E77" s="67"/>
      <c r="F77" s="69"/>
      <c r="G77" s="69"/>
      <c r="H77" s="69"/>
      <c r="I77" s="69"/>
      <c r="J77" s="69"/>
      <c r="K77" s="69"/>
      <c r="L77" s="69"/>
      <c r="M77" s="69"/>
      <c r="N77" s="67"/>
    </row>
    <row r="78" spans="5:14">
      <c r="E78" s="67"/>
      <c r="F78" s="69"/>
      <c r="G78" s="69"/>
      <c r="H78" s="69"/>
      <c r="I78" s="69"/>
      <c r="J78" s="69"/>
      <c r="K78" s="69"/>
      <c r="L78" s="69"/>
      <c r="M78" s="69"/>
      <c r="N78" s="67"/>
    </row>
    <row r="79" spans="5:14">
      <c r="E79" s="67"/>
      <c r="F79" s="69"/>
      <c r="G79" s="69"/>
      <c r="H79" s="69"/>
      <c r="I79" s="69"/>
      <c r="J79" s="69"/>
      <c r="K79" s="69"/>
      <c r="L79" s="69"/>
      <c r="M79" s="69"/>
      <c r="N79" s="67"/>
    </row>
    <row r="80" spans="5:14">
      <c r="E80" s="67"/>
      <c r="F80" s="69"/>
      <c r="G80" s="69"/>
      <c r="H80" s="69"/>
      <c r="I80" s="69"/>
      <c r="J80" s="69"/>
      <c r="K80" s="69"/>
      <c r="L80" s="69"/>
      <c r="M80" s="69"/>
      <c r="N80" s="67"/>
    </row>
    <row r="81" spans="5:14">
      <c r="E81" s="67"/>
      <c r="F81" s="70"/>
      <c r="G81" s="70"/>
      <c r="H81" s="70"/>
      <c r="I81" s="70"/>
      <c r="J81" s="70"/>
      <c r="K81" s="70"/>
      <c r="L81" s="70"/>
      <c r="M81" s="70"/>
      <c r="N81" s="67"/>
    </row>
    <row r="82" spans="5:14">
      <c r="E82" s="67"/>
      <c r="F82" s="70"/>
      <c r="G82" s="70"/>
      <c r="H82" s="70"/>
      <c r="I82" s="70"/>
      <c r="J82" s="70"/>
      <c r="K82" s="70"/>
      <c r="L82" s="70"/>
      <c r="M82" s="70"/>
      <c r="N82" s="67"/>
    </row>
    <row r="83" spans="5:14">
      <c r="E83" s="67"/>
      <c r="F83" s="70"/>
      <c r="G83" s="70"/>
      <c r="H83" s="70"/>
      <c r="I83" s="70"/>
      <c r="J83" s="70"/>
      <c r="K83" s="70"/>
      <c r="L83" s="70"/>
      <c r="M83" s="70"/>
      <c r="N83" s="67"/>
    </row>
    <row r="84" spans="5:14">
      <c r="E84" s="67"/>
      <c r="F84" s="70"/>
      <c r="G84" s="70"/>
      <c r="H84" s="70"/>
      <c r="I84" s="70"/>
      <c r="J84" s="70"/>
      <c r="K84" s="70"/>
      <c r="L84" s="70"/>
      <c r="M84" s="70"/>
      <c r="N84" s="67"/>
    </row>
    <row r="85" spans="5:14">
      <c r="E85" s="67"/>
      <c r="F85" s="70"/>
      <c r="G85" s="70"/>
      <c r="H85" s="70"/>
      <c r="I85" s="70"/>
      <c r="J85" s="70"/>
      <c r="K85" s="70"/>
      <c r="L85" s="70"/>
      <c r="M85" s="70"/>
      <c r="N85" s="67"/>
    </row>
    <row r="86" spans="5:14">
      <c r="E86" s="67"/>
      <c r="F86" s="70"/>
      <c r="G86" s="70"/>
      <c r="H86" s="70"/>
      <c r="I86" s="70"/>
      <c r="J86" s="70"/>
      <c r="K86" s="70"/>
      <c r="L86" s="70"/>
      <c r="M86" s="70"/>
      <c r="N86" s="67"/>
    </row>
    <row r="87" spans="5:14">
      <c r="E87" s="67"/>
      <c r="F87" s="70"/>
      <c r="G87" s="70"/>
      <c r="H87" s="70"/>
      <c r="I87" s="70"/>
      <c r="J87" s="70"/>
      <c r="K87" s="70"/>
      <c r="L87" s="70"/>
      <c r="M87" s="70"/>
      <c r="N87" s="67"/>
    </row>
    <row r="88" spans="5:14">
      <c r="E88" s="67"/>
      <c r="F88" s="70"/>
      <c r="G88" s="70"/>
      <c r="H88" s="70"/>
      <c r="I88" s="70"/>
      <c r="J88" s="70"/>
      <c r="K88" s="70"/>
      <c r="L88" s="70"/>
      <c r="M88" s="70"/>
      <c r="N88" s="67"/>
    </row>
    <row r="89" spans="5:14">
      <c r="E89" s="67"/>
      <c r="F89" s="70"/>
      <c r="G89" s="70"/>
      <c r="H89" s="70"/>
      <c r="I89" s="70"/>
      <c r="J89" s="70"/>
      <c r="K89" s="70"/>
      <c r="L89" s="70"/>
      <c r="M89" s="70"/>
      <c r="N89" s="67"/>
    </row>
    <row r="90" spans="5:14">
      <c r="E90" s="67"/>
      <c r="F90" s="70"/>
      <c r="G90" s="70"/>
      <c r="H90" s="70"/>
      <c r="I90" s="70"/>
      <c r="J90" s="70"/>
      <c r="K90" s="70"/>
      <c r="L90" s="70"/>
      <c r="M90" s="70"/>
      <c r="N90" s="67"/>
    </row>
    <row r="91" spans="5:14">
      <c r="E91" s="67"/>
      <c r="F91" s="70"/>
      <c r="G91" s="70"/>
      <c r="H91" s="70"/>
      <c r="I91" s="70"/>
      <c r="J91" s="70"/>
      <c r="K91" s="70"/>
      <c r="L91" s="70"/>
      <c r="M91" s="70"/>
      <c r="N91" s="67"/>
    </row>
    <row r="92" spans="5:14">
      <c r="E92" s="67"/>
      <c r="F92" s="70"/>
      <c r="G92" s="70"/>
      <c r="H92" s="70"/>
      <c r="I92" s="70"/>
      <c r="J92" s="70"/>
      <c r="K92" s="70"/>
      <c r="L92" s="70"/>
      <c r="M92" s="70"/>
      <c r="N92" s="67"/>
    </row>
    <row r="93" spans="5:14">
      <c r="E93" s="67"/>
      <c r="F93" s="70"/>
      <c r="G93" s="70"/>
      <c r="H93" s="70"/>
      <c r="I93" s="70"/>
      <c r="J93" s="70"/>
      <c r="K93" s="70"/>
      <c r="L93" s="70"/>
      <c r="M93" s="70"/>
      <c r="N93" s="67"/>
    </row>
    <row r="94" spans="5:14">
      <c r="E94" s="67"/>
      <c r="F94" s="69"/>
      <c r="G94" s="69"/>
      <c r="H94" s="69"/>
      <c r="I94" s="69"/>
      <c r="J94" s="69"/>
      <c r="K94" s="69"/>
      <c r="L94" s="69"/>
      <c r="M94" s="69"/>
      <c r="N94" s="67"/>
    </row>
    <row r="95" spans="5:14">
      <c r="E95" s="67"/>
      <c r="F95" s="69"/>
      <c r="G95" s="69"/>
      <c r="H95" s="69"/>
      <c r="I95" s="69"/>
      <c r="J95" s="69"/>
      <c r="K95" s="69"/>
      <c r="L95" s="69"/>
      <c r="M95" s="69"/>
      <c r="N95" s="67"/>
    </row>
    <row r="96" spans="5:14">
      <c r="E96" s="67"/>
      <c r="F96" s="69"/>
      <c r="G96" s="69"/>
      <c r="H96" s="69"/>
      <c r="I96" s="69"/>
      <c r="J96" s="69"/>
      <c r="K96" s="69"/>
      <c r="L96" s="69"/>
      <c r="M96" s="69"/>
      <c r="N96" s="67"/>
    </row>
    <row r="97" spans="5:14">
      <c r="E97" s="67"/>
      <c r="F97" s="69"/>
      <c r="G97" s="69"/>
      <c r="H97" s="69"/>
      <c r="I97" s="69"/>
      <c r="J97" s="69"/>
      <c r="K97" s="69"/>
      <c r="L97" s="69"/>
      <c r="M97" s="69"/>
      <c r="N97" s="67"/>
    </row>
    <row r="98" spans="5:14">
      <c r="E98" s="67"/>
      <c r="F98" s="69"/>
      <c r="G98" s="69"/>
      <c r="H98" s="69"/>
      <c r="I98" s="69"/>
      <c r="J98" s="69"/>
      <c r="K98" s="69"/>
      <c r="L98" s="69"/>
      <c r="M98" s="69"/>
      <c r="N98" s="67"/>
    </row>
    <row r="99" spans="5:14">
      <c r="E99" s="67"/>
      <c r="F99" s="70"/>
      <c r="G99" s="70"/>
      <c r="H99" s="70"/>
      <c r="I99" s="70"/>
      <c r="J99" s="70"/>
      <c r="K99" s="70"/>
      <c r="L99" s="70"/>
      <c r="M99" s="70"/>
      <c r="N99" s="67"/>
    </row>
    <row r="100" spans="5:14">
      <c r="E100" s="67"/>
      <c r="F100" s="70"/>
      <c r="G100" s="70"/>
      <c r="H100" s="70"/>
      <c r="I100" s="70"/>
      <c r="J100" s="70"/>
      <c r="K100" s="70"/>
      <c r="L100" s="70"/>
      <c r="M100" s="70"/>
      <c r="N100" s="67"/>
    </row>
    <row r="101" spans="5:14">
      <c r="E101" s="67"/>
      <c r="F101" s="70"/>
      <c r="G101" s="70"/>
      <c r="H101" s="70"/>
      <c r="I101" s="70"/>
      <c r="J101" s="70"/>
      <c r="K101" s="70"/>
      <c r="L101" s="70"/>
      <c r="M101" s="70"/>
      <c r="N101" s="67"/>
    </row>
    <row r="102" spans="5:14">
      <c r="E102" s="67"/>
      <c r="F102" s="70"/>
      <c r="G102" s="70"/>
      <c r="H102" s="70"/>
      <c r="I102" s="70"/>
      <c r="J102" s="70"/>
      <c r="K102" s="70"/>
      <c r="L102" s="70"/>
      <c r="M102" s="70"/>
      <c r="N102" s="67"/>
    </row>
    <row r="103" spans="5:14">
      <c r="E103" s="67"/>
      <c r="F103" s="70"/>
      <c r="G103" s="70"/>
      <c r="H103" s="70"/>
      <c r="I103" s="70"/>
      <c r="J103" s="70"/>
      <c r="K103" s="70"/>
      <c r="L103" s="70"/>
      <c r="M103" s="70"/>
      <c r="N103" s="67"/>
    </row>
    <row r="104" spans="5:14">
      <c r="E104" s="67"/>
      <c r="F104" s="70"/>
      <c r="G104" s="70"/>
      <c r="H104" s="70"/>
      <c r="I104" s="70"/>
      <c r="J104" s="70"/>
      <c r="K104" s="70"/>
      <c r="L104" s="70"/>
      <c r="M104" s="70"/>
      <c r="N104" s="67"/>
    </row>
    <row r="105" spans="5:14">
      <c r="E105" s="67"/>
      <c r="F105" s="70"/>
      <c r="G105" s="70"/>
      <c r="H105" s="70"/>
      <c r="I105" s="70"/>
      <c r="J105" s="70"/>
      <c r="K105" s="70"/>
      <c r="L105" s="70"/>
      <c r="M105" s="70"/>
      <c r="N105" s="67"/>
    </row>
    <row r="106" spans="5:14">
      <c r="E106" s="67"/>
      <c r="F106" s="69"/>
      <c r="G106" s="69"/>
      <c r="H106" s="69"/>
      <c r="I106" s="69"/>
      <c r="J106" s="69"/>
      <c r="K106" s="69"/>
      <c r="L106" s="79"/>
      <c r="M106" s="69"/>
      <c r="N106" s="67"/>
    </row>
    <row r="107" spans="5:14">
      <c r="E107" s="67"/>
      <c r="F107" s="69"/>
      <c r="G107" s="69"/>
      <c r="H107" s="69"/>
      <c r="I107" s="69"/>
      <c r="J107" s="69"/>
      <c r="K107" s="69"/>
      <c r="L107" s="79"/>
      <c r="M107" s="69"/>
      <c r="N107" s="67"/>
    </row>
    <row r="108" spans="5:14">
      <c r="E108" s="67"/>
      <c r="F108" s="69"/>
      <c r="G108" s="69"/>
      <c r="H108" s="69"/>
      <c r="I108" s="69"/>
      <c r="J108" s="69"/>
      <c r="K108" s="69"/>
      <c r="L108" s="79"/>
      <c r="M108" s="69"/>
      <c r="N108" s="67"/>
    </row>
    <row r="109" spans="5:14">
      <c r="E109" s="67"/>
      <c r="F109" s="69"/>
      <c r="G109" s="69"/>
      <c r="H109" s="69"/>
      <c r="I109" s="69"/>
      <c r="J109" s="69"/>
      <c r="K109" s="69"/>
      <c r="L109" s="79"/>
      <c r="M109" s="69"/>
      <c r="N109" s="67"/>
    </row>
    <row r="110" spans="5:14">
      <c r="E110" s="67"/>
      <c r="F110" s="69"/>
      <c r="G110" s="69"/>
      <c r="H110" s="69"/>
      <c r="I110" s="69"/>
      <c r="J110" s="69"/>
      <c r="K110" s="69"/>
      <c r="L110" s="79"/>
      <c r="M110" s="69"/>
      <c r="N110" s="67"/>
    </row>
    <row r="111" spans="5:14">
      <c r="E111" s="67"/>
      <c r="F111" s="67"/>
      <c r="G111" s="67"/>
      <c r="H111" s="67"/>
      <c r="I111" s="67"/>
      <c r="J111" s="67"/>
      <c r="K111" s="67"/>
      <c r="L111" s="67"/>
      <c r="M111" s="67"/>
      <c r="N111" s="67"/>
    </row>
    <row r="112" spans="5:14">
      <c r="E112" s="67"/>
      <c r="F112" s="67"/>
      <c r="G112" s="67"/>
      <c r="H112" s="67"/>
      <c r="I112" s="67"/>
      <c r="J112" s="67"/>
      <c r="K112" s="67"/>
      <c r="L112" s="67"/>
      <c r="M112" s="67"/>
      <c r="N112" s="67"/>
    </row>
    <row r="113" spans="5:14">
      <c r="E113" s="67"/>
      <c r="F113" s="67"/>
      <c r="G113" s="67"/>
      <c r="H113" s="67"/>
      <c r="I113" s="67"/>
      <c r="J113" s="67"/>
      <c r="K113" s="67"/>
      <c r="L113" s="67"/>
      <c r="M113" s="67"/>
      <c r="N113" s="67"/>
    </row>
  </sheetData>
  <autoFilter xmlns:etc="http://www.wps.cn/officeDocument/2017/etCustomData" ref="A1:N53" etc:filterBottomFollowUsedRange="0">
    <extLst/>
  </autoFilter>
  <conditionalFormatting sqref="H52:H53">
    <cfRule type="duplicateValues" dxfId="0" priority="5"/>
  </conditionalFormatting>
  <conditionalFormatting sqref="H54:H1048576 H1">
    <cfRule type="duplicateValues" dxfId="0" priority="3"/>
  </conditionalFormatting>
  <conditionalFormatting sqref="G2:H53">
    <cfRule type="duplicateValues" dxfId="0" priority="6"/>
  </conditionalFormatting>
  <dataValidations count="2">
    <dataValidation allowBlank="1" showInputMessage="1" showErrorMessage="1" error=" " promptTitle="查找" prompt="此 车工号 记录必须已存在于 Microsoft Dynamics 365 或此源文件中。" sqref="F2:F51"/>
    <dataValidation type="textLength" operator="lessThanOrEqual" allowBlank="1" showInputMessage="1" showErrorMessage="1" errorTitle="超出长度" error="此值的长度必须小于或等于 100 个字符。" promptTitle="文本" prompt="最大长度: 100 个字符。" sqref="G2:K51">
      <formula1>100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>
    <pageSetUpPr fitToPage="1"/>
  </sheetPr>
  <dimension ref="B1:K63"/>
  <sheetViews>
    <sheetView zoomScale="141" zoomScaleNormal="141" workbookViewId="0">
      <selection activeCell="C20" sqref="C20"/>
    </sheetView>
  </sheetViews>
  <sheetFormatPr defaultColWidth="8.8359375" defaultRowHeight="16.8"/>
  <cols>
    <col min="1" max="1" width="3.3359375" style="2" customWidth="1"/>
    <col min="2" max="2" width="20.5" style="2" customWidth="1"/>
    <col min="3" max="3" width="29.1640625" style="2" customWidth="1"/>
    <col min="4" max="4" width="14.8359375" style="2" customWidth="1"/>
    <col min="5" max="5" width="16.5" style="2" customWidth="1"/>
    <col min="6" max="6" width="21.5" style="2" customWidth="1"/>
    <col min="7" max="7" width="3.5" style="2" customWidth="1"/>
    <col min="8" max="8" width="8.8359375" style="2"/>
    <col min="9" max="9" width="14.6640625" style="2" customWidth="1"/>
    <col min="10" max="10" width="8.8359375" style="2"/>
    <col min="11" max="11" width="13.6640625" style="2" customWidth="1"/>
    <col min="12" max="12" width="8.8359375" style="2"/>
    <col min="13" max="13" width="96.1640625" style="2" customWidth="1"/>
    <col min="14" max="16384" width="8.8359375" style="2"/>
  </cols>
  <sheetData>
    <row r="1" ht="5" customHeight="1"/>
    <row r="2" ht="14.5" customHeight="1"/>
    <row r="3" ht="14.5" customHeight="1"/>
    <row r="4" ht="14.5" customHeight="1"/>
    <row r="5" ht="14.5" customHeight="1"/>
    <row r="7" ht="15" customHeight="1" spans="2:6">
      <c r="B7" s="6" t="s">
        <v>293</v>
      </c>
      <c r="C7" s="6" t="str">
        <f>_xlfn.XLOOKUP(F8,DATA!C2:C53,DATA!P2:P53)</f>
        <v>N/A</v>
      </c>
      <c r="D7" s="6"/>
      <c r="F7" s="37">
        <f>_xlfn.XLOOKUP(F8,DATA!C2:C53,DATA!Q2:Q53)</f>
        <v>0</v>
      </c>
    </row>
    <row r="8" ht="14.5" customHeight="1" spans="2:6">
      <c r="B8" s="8"/>
      <c r="C8" s="6"/>
      <c r="D8" s="6"/>
      <c r="E8" s="6" t="s">
        <v>294</v>
      </c>
      <c r="F8" s="38" t="s">
        <v>39</v>
      </c>
    </row>
    <row r="9" spans="2:11">
      <c r="B9" s="6" t="s">
        <v>295</v>
      </c>
      <c r="C9" s="6" t="str">
        <f>_xlfn.XLOOKUP(F8,DATA!C2:C53,DATA!L2:L53)</f>
        <v>Mr.Thushara</v>
      </c>
      <c r="F9" s="6"/>
      <c r="K9" s="54"/>
    </row>
    <row r="10" s="1" customFormat="1" spans="2:11">
      <c r="B10" s="6" t="s">
        <v>296</v>
      </c>
      <c r="C10" s="6">
        <f>_xlfn.XLOOKUP(F8,DATA!C2:C53,DATA!S2:S53)</f>
        <v>0</v>
      </c>
      <c r="D10" s="7"/>
      <c r="I10" s="37"/>
      <c r="K10" s="55"/>
    </row>
    <row r="11" ht="15" customHeight="1" spans="2:4">
      <c r="B11" s="6" t="s">
        <v>297</v>
      </c>
      <c r="C11" s="6">
        <f>_xlfn.XLOOKUP(F8,DATA!C2:C53,DATA!T2:T53)</f>
        <v>0</v>
      </c>
      <c r="D11" s="6"/>
    </row>
    <row r="12" spans="2:11">
      <c r="B12" s="5"/>
      <c r="C12" s="6"/>
      <c r="D12" s="6"/>
      <c r="I12" s="6"/>
      <c r="K12" s="54"/>
    </row>
    <row r="13" spans="2:11">
      <c r="B13" s="6" t="s">
        <v>298</v>
      </c>
      <c r="C13" s="6" t="str">
        <f>UPPER(TEXT(F7,"mmm ")&amp;DAY(F7)&amp;IF(AND(MOD(DAY(F7),100)&gt;=11,MOD(DAY(F7),100)&lt;=13),"TH",CHOOSE(MOD(DAY(F7),10)+1,"TH","ST","ND","RD","TH","TH","TH","TH","TH","TH"))&amp;" "&amp;TEXT(F7,"yyyy"))</f>
        <v>JAN 0TH 1900</v>
      </c>
      <c r="I13"/>
      <c r="K13" s="56"/>
    </row>
    <row r="14" spans="2:11">
      <c r="B14" s="9"/>
      <c r="C14" s="9"/>
      <c r="K14" s="57"/>
    </row>
    <row r="15" ht="17.55" spans="11:11">
      <c r="K15" s="58"/>
    </row>
    <row r="16" ht="30" customHeight="1" spans="2:11">
      <c r="B16" s="10" t="s">
        <v>299</v>
      </c>
      <c r="C16" s="11"/>
      <c r="D16" s="12" t="s">
        <v>300</v>
      </c>
      <c r="E16" s="39" t="s">
        <v>301</v>
      </c>
      <c r="F16" s="40" t="s">
        <v>302</v>
      </c>
      <c r="K16" s="59"/>
    </row>
    <row r="17" ht="10" customHeight="1" spans="2:6">
      <c r="B17" s="1"/>
      <c r="C17" s="1"/>
      <c r="D17" s="1"/>
      <c r="E17" s="1"/>
      <c r="F17" s="1"/>
    </row>
    <row r="18" ht="16" customHeight="1" spans="2:11">
      <c r="B18" s="13" t="s">
        <v>303</v>
      </c>
      <c r="C18" s="14" t="s">
        <v>304</v>
      </c>
      <c r="D18" s="15">
        <v>1</v>
      </c>
      <c r="E18" s="41">
        <f>_xlfn.XLOOKUP(F8,DATA!C2:C53,DATA!N2:N53)</f>
        <v>0</v>
      </c>
      <c r="F18" s="42">
        <f>D18*E18</f>
        <v>0</v>
      </c>
      <c r="K18" s="59"/>
    </row>
    <row r="19" ht="16" customHeight="1" spans="2:6">
      <c r="B19" s="16" t="s">
        <v>305</v>
      </c>
      <c r="C19" s="17" t="str">
        <f>_xlfn.XLOOKUP(F8,DATA!C2:C53,DATA!D2:D53)</f>
        <v>ZK6907H (37+1+1)</v>
      </c>
      <c r="D19" s="18"/>
      <c r="E19" s="43"/>
      <c r="F19" s="44"/>
    </row>
    <row r="20" ht="16" customHeight="1" spans="2:11">
      <c r="B20" s="16" t="s">
        <v>306</v>
      </c>
      <c r="C20" s="17">
        <f>_xlfn.XLOOKUP(F8,DATA!C2:C53,DATA!M2:M53)</f>
        <v>0</v>
      </c>
      <c r="D20" s="18"/>
      <c r="E20" s="43"/>
      <c r="F20" s="44"/>
      <c r="K20" s="59"/>
    </row>
    <row r="21" ht="16" customHeight="1" spans="2:6">
      <c r="B21" s="19" t="s">
        <v>307</v>
      </c>
      <c r="C21" s="80" t="s">
        <v>308</v>
      </c>
      <c r="D21" s="18"/>
      <c r="E21" s="43"/>
      <c r="F21" s="44"/>
    </row>
    <row r="22" ht="16" customHeight="1" spans="2:9">
      <c r="B22" s="16" t="s">
        <v>309</v>
      </c>
      <c r="C22" s="17" t="s">
        <v>310</v>
      </c>
      <c r="D22" s="18"/>
      <c r="E22" s="43"/>
      <c r="F22" s="44"/>
      <c r="I22" s="60"/>
    </row>
    <row r="23" ht="16" hidden="1" customHeight="1" spans="2:9">
      <c r="B23" s="16" t="s">
        <v>311</v>
      </c>
      <c r="C23" s="17" t="str">
        <f>_xlfn.TRANSLATE(_xlfn.XLOOKUP(F8,DATA!C2:C51,DATA!I2:I51))</f>
        <v>GREEN</v>
      </c>
      <c r="D23" s="18"/>
      <c r="E23" s="43"/>
      <c r="F23" s="44"/>
      <c r="I23" s="60"/>
    </row>
    <row r="24" ht="16" hidden="1" customHeight="1" spans="2:9">
      <c r="B24" s="16" t="s">
        <v>312</v>
      </c>
      <c r="C24" s="17">
        <f>_xlfn.XLOOKUP(F8,DATA!C2:C51,DATA!J2:J51)</f>
        <v>0</v>
      </c>
      <c r="D24" s="18"/>
      <c r="E24" s="43"/>
      <c r="F24" s="44"/>
      <c r="I24" s="60"/>
    </row>
    <row r="25" ht="16" customHeight="1" spans="2:6">
      <c r="B25" s="16" t="s">
        <v>313</v>
      </c>
      <c r="C25" s="17" t="s">
        <v>314</v>
      </c>
      <c r="D25" s="18"/>
      <c r="E25" s="43"/>
      <c r="F25" s="44"/>
    </row>
    <row r="26" ht="16" customHeight="1" spans="2:6">
      <c r="B26" s="16" t="s">
        <v>6</v>
      </c>
      <c r="C26" s="21" t="str">
        <f>_xlfn.XLOOKUP(F8,DATA!C2:C53,DATA!G2:G53)</f>
        <v>A5CYAS30188</v>
      </c>
      <c r="D26" s="18"/>
      <c r="E26" s="43"/>
      <c r="F26" s="44"/>
    </row>
    <row r="27" ht="16" customHeight="1" spans="2:6">
      <c r="B27" s="16" t="s">
        <v>315</v>
      </c>
      <c r="C27" s="22" t="str">
        <f>_xlfn.XLOOKUP(F8,DATA!C2:C53,DATA!H2:H53)</f>
        <v>LZYTDTD61T1003364</v>
      </c>
      <c r="D27" s="18"/>
      <c r="E27" s="45"/>
      <c r="F27" s="44"/>
    </row>
    <row r="28" ht="20" customHeight="1" spans="2:9">
      <c r="B28" s="23" t="s">
        <v>316</v>
      </c>
      <c r="C28" s="24" t="str" cm="1">
        <f t="array" ref="C28">UPPER(SpellRupees(F30))</f>
        <v>RUPEES </v>
      </c>
      <c r="D28" s="25"/>
      <c r="E28" s="46" t="s">
        <v>317</v>
      </c>
      <c r="F28" s="47">
        <f>SUBTOTAL(9,F18)</f>
        <v>0</v>
      </c>
      <c r="H28" s="48"/>
      <c r="I28" s="60"/>
    </row>
    <row r="29" ht="20" customHeight="1" spans="2:9">
      <c r="B29" s="26"/>
      <c r="C29" s="27"/>
      <c r="D29" s="28"/>
      <c r="E29" s="49" t="s">
        <v>21</v>
      </c>
      <c r="F29" s="50">
        <f>F28-F30</f>
        <v>0</v>
      </c>
      <c r="I29" s="61"/>
    </row>
    <row r="30" ht="20" customHeight="1" spans="2:9">
      <c r="B30" s="29"/>
      <c r="C30" s="30"/>
      <c r="D30" s="31"/>
      <c r="E30" s="51" t="s">
        <v>318</v>
      </c>
      <c r="F30" s="52">
        <f>_xlfn.XLOOKUP(F8,DATA!C2:C53,DATA!W2:W53)</f>
        <v>0</v>
      </c>
      <c r="I30" s="60"/>
    </row>
    <row r="31" ht="17.6" spans="2:6">
      <c r="B31" s="32"/>
      <c r="C31" s="33"/>
      <c r="D31" s="33"/>
      <c r="F31" s="53"/>
    </row>
    <row r="32" ht="17.6" spans="2:9">
      <c r="B32" s="32"/>
      <c r="C32" s="33"/>
      <c r="D32" s="33"/>
      <c r="F32" s="53"/>
      <c r="I32" s="62"/>
    </row>
    <row r="33" ht="16" customHeight="1" spans="2:9">
      <c r="B33" s="34" t="s">
        <v>319</v>
      </c>
      <c r="C33" s="33"/>
      <c r="D33" s="33"/>
      <c r="F33" s="53"/>
      <c r="I33" s="60"/>
    </row>
    <row r="34" ht="17.6" spans="2:6">
      <c r="B34" s="32"/>
      <c r="C34" s="33"/>
      <c r="D34" s="33"/>
      <c r="F34" s="53"/>
    </row>
    <row r="35" ht="16" customHeight="1" spans="2:6">
      <c r="B35" s="35" t="s">
        <v>320</v>
      </c>
      <c r="C35" s="35" t="s">
        <v>321</v>
      </c>
      <c r="D35" s="33"/>
      <c r="F35" s="53"/>
    </row>
    <row r="36" ht="16" customHeight="1" spans="2:6">
      <c r="B36" s="35" t="s">
        <v>322</v>
      </c>
      <c r="C36" s="35">
        <v>2000511791</v>
      </c>
      <c r="D36" s="33"/>
      <c r="F36" s="53"/>
    </row>
    <row r="37" ht="16" customHeight="1" spans="2:6">
      <c r="B37" s="35" t="s">
        <v>323</v>
      </c>
      <c r="C37" s="35" t="s">
        <v>324</v>
      </c>
      <c r="D37" s="33"/>
      <c r="F37" s="53"/>
    </row>
    <row r="38" spans="6:6">
      <c r="F38" s="53"/>
    </row>
    <row r="39" spans="6:6">
      <c r="F39" s="53"/>
    </row>
    <row r="40" spans="6:6">
      <c r="F40" s="53"/>
    </row>
    <row r="42" ht="7" customHeight="1"/>
    <row r="45" ht="7" customHeight="1"/>
    <row r="46" ht="1" customHeight="1"/>
    <row r="49" ht="8" customHeight="1"/>
    <row r="63" spans="3:3">
      <c r="C63" s="36"/>
    </row>
  </sheetData>
  <mergeCells count="6">
    <mergeCell ref="B16:C16"/>
    <mergeCell ref="B28:B30"/>
    <mergeCell ref="D18:D27"/>
    <mergeCell ref="E18:E27"/>
    <mergeCell ref="F18:F27"/>
    <mergeCell ref="C28:D30"/>
  </mergeCells>
  <conditionalFormatting sqref="B10:C10">
    <cfRule type="expression" dxfId="1" priority="3">
      <formula>$C$10="N/A"</formula>
    </cfRule>
  </conditionalFormatting>
  <dataValidations count="1">
    <dataValidation type="list" allowBlank="1" showInputMessage="1" showErrorMessage="1" sqref="F8">
      <formula1>DATA!$C$2:$C$53</formula1>
    </dataValidation>
  </dataValidations>
  <pageMargins left="0.25" right="0.25" top="0.75" bottom="0.75" header="0.3" footer="0.3"/>
  <pageSetup paperSize="9" scale="84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>
    <pageSetUpPr fitToPage="1"/>
  </sheetPr>
  <dimension ref="B1:K63"/>
  <sheetViews>
    <sheetView zoomScale="141" zoomScaleNormal="141" workbookViewId="0">
      <selection activeCell="K22" sqref="K22"/>
    </sheetView>
  </sheetViews>
  <sheetFormatPr defaultColWidth="8.8359375" defaultRowHeight="16.8"/>
  <cols>
    <col min="1" max="1" width="3.3359375" style="2" customWidth="1"/>
    <col min="2" max="2" width="20.5" style="2" customWidth="1"/>
    <col min="3" max="3" width="29.1640625" style="2" customWidth="1"/>
    <col min="4" max="4" width="14.8359375" style="2" customWidth="1"/>
    <col min="5" max="5" width="16.5" style="2" customWidth="1"/>
    <col min="6" max="6" width="21.5" style="2" customWidth="1"/>
    <col min="7" max="7" width="3.5" style="2" customWidth="1"/>
    <col min="8" max="8" width="8.8359375" style="2"/>
    <col min="9" max="9" width="14.6640625" style="2" customWidth="1"/>
    <col min="10" max="10" width="8.8359375" style="2"/>
    <col min="11" max="11" width="13.6640625" style="2" customWidth="1"/>
    <col min="12" max="12" width="8.8359375" style="2"/>
    <col min="13" max="13" width="96.1640625" style="2" customWidth="1"/>
    <col min="14" max="16384" width="8.8359375" style="2"/>
  </cols>
  <sheetData>
    <row r="1" ht="5" customHeight="1"/>
    <row r="2" ht="14.5" customHeight="1"/>
    <row r="3" ht="14.5" customHeight="1"/>
    <row r="4" ht="14.5" customHeight="1"/>
    <row r="5" ht="14.5" customHeight="1"/>
    <row r="7" ht="15" customHeight="1" spans="2:6">
      <c r="B7" s="3" t="s">
        <v>293</v>
      </c>
      <c r="C7" s="4" t="e">
        <f>_xlfn.XLOOKUP(F8,DATA!C2:C53,DATA!P2:P53)</f>
        <v>#N/A</v>
      </c>
      <c r="D7" s="4"/>
      <c r="F7" s="37" t="e">
        <f>_xlfn.XLOOKUP(F8,DATA!C2:C53,DATA!Q2:Q53)</f>
        <v>#N/A</v>
      </c>
    </row>
    <row r="8" ht="14.5" customHeight="1" spans="2:6">
      <c r="B8" s="5"/>
      <c r="C8" s="4"/>
      <c r="D8" s="4"/>
      <c r="E8" s="6" t="s">
        <v>294</v>
      </c>
      <c r="F8" s="38" t="s">
        <v>325</v>
      </c>
    </row>
    <row r="9" spans="2:11">
      <c r="B9" s="6" t="s">
        <v>295</v>
      </c>
      <c r="C9" s="6" t="e">
        <f>_xlfn.XLOOKUP(F8,DATA!C2:C53,DATA!L2:L53)</f>
        <v>#N/A</v>
      </c>
      <c r="F9" s="6"/>
      <c r="K9" s="54"/>
    </row>
    <row r="10" s="1" customFormat="1" spans="2:11">
      <c r="B10" s="6" t="s">
        <v>296</v>
      </c>
      <c r="C10" s="6" t="e">
        <f>_xlfn.XLOOKUP(F8,DATA!C2:C53,DATA!S2:S53)</f>
        <v>#N/A</v>
      </c>
      <c r="D10" s="7"/>
      <c r="I10" s="37"/>
      <c r="K10" s="55"/>
    </row>
    <row r="11" ht="15" customHeight="1" spans="2:4">
      <c r="B11" s="3" t="s">
        <v>297</v>
      </c>
      <c r="C11" s="4" t="e">
        <f>_xlfn.XLOOKUP(F8,DATA!C2:C53,DATA!T2:T53)</f>
        <v>#N/A</v>
      </c>
      <c r="D11" s="4"/>
    </row>
    <row r="12" spans="2:11">
      <c r="B12" s="8"/>
      <c r="C12" s="4"/>
      <c r="D12" s="4"/>
      <c r="I12" s="6"/>
      <c r="K12" s="54"/>
    </row>
    <row r="13" spans="2:11">
      <c r="B13" s="6" t="s">
        <v>298</v>
      </c>
      <c r="C13" s="6" t="e">
        <f>UPPER(TEXT(F7,"mmm ")&amp;DAY(F7)&amp;IF(AND(MOD(DAY(F7),100)&gt;=11,MOD(DAY(F7),100)&lt;=13),"TH",CHOOSE(MOD(DAY(F7),10)+1,"TH","ST","ND","RD","TH","TH","TH","TH","TH","TH"))&amp;" "&amp;TEXT(F7,"yyyy"))</f>
        <v>#N/A</v>
      </c>
      <c r="I13"/>
      <c r="K13" s="56"/>
    </row>
    <row r="14" spans="2:11">
      <c r="B14" s="9"/>
      <c r="C14" s="9"/>
      <c r="K14" s="57"/>
    </row>
    <row r="15" ht="17.55" spans="11:11">
      <c r="K15" s="58"/>
    </row>
    <row r="16" ht="30" customHeight="1" spans="2:11">
      <c r="B16" s="10" t="s">
        <v>299</v>
      </c>
      <c r="C16" s="11"/>
      <c r="D16" s="12" t="s">
        <v>300</v>
      </c>
      <c r="E16" s="39" t="s">
        <v>301</v>
      </c>
      <c r="F16" s="40" t="s">
        <v>302</v>
      </c>
      <c r="K16" s="59"/>
    </row>
    <row r="17" ht="10" customHeight="1" spans="2:6">
      <c r="B17" s="1"/>
      <c r="C17" s="1"/>
      <c r="D17" s="1"/>
      <c r="E17" s="1"/>
      <c r="F17" s="1"/>
    </row>
    <row r="18" ht="16" customHeight="1" spans="2:11">
      <c r="B18" s="13" t="s">
        <v>303</v>
      </c>
      <c r="C18" s="14" t="s">
        <v>304</v>
      </c>
      <c r="D18" s="15">
        <v>1</v>
      </c>
      <c r="E18" s="41" t="e">
        <f>_xlfn.XLOOKUP(F8,DATA!C2:C53,DATA!N2:N53)</f>
        <v>#N/A</v>
      </c>
      <c r="F18" s="42" t="e">
        <f>D18*E18</f>
        <v>#N/A</v>
      </c>
      <c r="K18" s="59"/>
    </row>
    <row r="19" ht="16" customHeight="1" spans="2:6">
      <c r="B19" s="16" t="s">
        <v>305</v>
      </c>
      <c r="C19" s="17" t="e">
        <f>_xlfn.XLOOKUP(F8,DATA!C2:C53,DATA!D2:D53)</f>
        <v>#N/A</v>
      </c>
      <c r="D19" s="18"/>
      <c r="E19" s="43"/>
      <c r="F19" s="44"/>
    </row>
    <row r="20" ht="16" customHeight="1" spans="2:11">
      <c r="B20" s="16" t="s">
        <v>306</v>
      </c>
      <c r="C20" s="17" t="e">
        <f>_xlfn.XLOOKUP(F8,DATA!C2:C53,DATA!M2:M53)</f>
        <v>#N/A</v>
      </c>
      <c r="D20" s="18"/>
      <c r="E20" s="43"/>
      <c r="F20" s="44"/>
      <c r="K20" s="59"/>
    </row>
    <row r="21" ht="16" customHeight="1" spans="2:6">
      <c r="B21" s="19" t="s">
        <v>307</v>
      </c>
      <c r="C21" s="80" t="s">
        <v>308</v>
      </c>
      <c r="D21" s="18"/>
      <c r="E21" s="43"/>
      <c r="F21" s="44"/>
    </row>
    <row r="22" ht="16" customHeight="1" spans="2:9">
      <c r="B22" s="16" t="s">
        <v>309</v>
      </c>
      <c r="C22" s="17" t="s">
        <v>310</v>
      </c>
      <c r="D22" s="18"/>
      <c r="E22" s="43"/>
      <c r="F22" s="44"/>
      <c r="I22" s="60"/>
    </row>
    <row r="23" ht="16" hidden="1" customHeight="1" spans="2:9">
      <c r="B23" s="16" t="s">
        <v>311</v>
      </c>
      <c r="C23" s="17" t="e">
        <f>_xlfn.TRANSLATE(_xlfn.XLOOKUP(F8,DATA!C2:C51,DATA!I2:I51))</f>
        <v>#N/A</v>
      </c>
      <c r="D23" s="18"/>
      <c r="E23" s="43"/>
      <c r="F23" s="44"/>
      <c r="I23" s="60"/>
    </row>
    <row r="24" ht="16" hidden="1" customHeight="1" spans="2:9">
      <c r="B24" s="16" t="s">
        <v>312</v>
      </c>
      <c r="C24" s="17" t="e">
        <f>_xlfn.XLOOKUP(F8,DATA!C2:C51,DATA!J2:J51)</f>
        <v>#N/A</v>
      </c>
      <c r="D24" s="18"/>
      <c r="E24" s="43"/>
      <c r="F24" s="44"/>
      <c r="I24" s="60"/>
    </row>
    <row r="25" ht="16" customHeight="1" spans="2:6">
      <c r="B25" s="16" t="s">
        <v>313</v>
      </c>
      <c r="C25" s="17" t="s">
        <v>314</v>
      </c>
      <c r="D25" s="18"/>
      <c r="E25" s="43"/>
      <c r="F25" s="44"/>
    </row>
    <row r="26" ht="16" customHeight="1" spans="2:6">
      <c r="B26" s="16" t="s">
        <v>6</v>
      </c>
      <c r="C26" s="21" t="e">
        <f>_xlfn.XLOOKUP(F8,DATA!C2:C53,DATA!G2:G53)</f>
        <v>#N/A</v>
      </c>
      <c r="D26" s="18"/>
      <c r="E26" s="43"/>
      <c r="F26" s="44"/>
    </row>
    <row r="27" ht="16" customHeight="1" spans="2:6">
      <c r="B27" s="16" t="s">
        <v>315</v>
      </c>
      <c r="C27" s="22" t="e">
        <f>_xlfn.XLOOKUP(F8,DATA!C2:C53,DATA!H2:H53)</f>
        <v>#N/A</v>
      </c>
      <c r="D27" s="18"/>
      <c r="E27" s="45"/>
      <c r="F27" s="44"/>
    </row>
    <row r="28" ht="20" customHeight="1" spans="2:9">
      <c r="B28" s="23" t="s">
        <v>316</v>
      </c>
      <c r="C28" s="24" t="e" cm="1">
        <f t="array" ref="C28">UPPER(SpellRupees(F30))</f>
        <v>#VALUE!</v>
      </c>
      <c r="D28" s="25"/>
      <c r="E28" s="46" t="s">
        <v>326</v>
      </c>
      <c r="F28" s="47" t="e">
        <f>SUBTOTAL(9,F18)</f>
        <v>#N/A</v>
      </c>
      <c r="H28" s="48"/>
      <c r="I28" s="60"/>
    </row>
    <row r="29" ht="20" customHeight="1" spans="2:9">
      <c r="B29" s="26"/>
      <c r="C29" s="27"/>
      <c r="D29" s="28"/>
      <c r="E29" s="49" t="s">
        <v>21</v>
      </c>
      <c r="F29" s="50" t="e">
        <f>F28-F30</f>
        <v>#N/A</v>
      </c>
      <c r="I29" s="61"/>
    </row>
    <row r="30" ht="20" customHeight="1" spans="2:9">
      <c r="B30" s="29"/>
      <c r="C30" s="30"/>
      <c r="D30" s="31"/>
      <c r="E30" s="63" t="s">
        <v>327</v>
      </c>
      <c r="F30" s="52" t="e">
        <f>_xlfn.XLOOKUP(F8,DATA!C2:C53,DATA!W2:W53)</f>
        <v>#N/A</v>
      </c>
      <c r="I30" s="60"/>
    </row>
    <row r="31" ht="17.6" spans="2:6">
      <c r="B31" s="32"/>
      <c r="C31" s="33"/>
      <c r="D31" s="33"/>
      <c r="F31" s="53"/>
    </row>
    <row r="32" ht="17.6" spans="2:9">
      <c r="B32" s="32"/>
      <c r="C32" s="33"/>
      <c r="D32" s="33"/>
      <c r="F32" s="53"/>
      <c r="I32" s="62"/>
    </row>
    <row r="33" ht="16" customHeight="1" spans="2:9">
      <c r="B33" s="34" t="s">
        <v>319</v>
      </c>
      <c r="C33" s="33"/>
      <c r="D33" s="33"/>
      <c r="F33" s="53"/>
      <c r="I33" s="60"/>
    </row>
    <row r="34" ht="17.6" spans="2:6">
      <c r="B34" s="32"/>
      <c r="C34" s="33"/>
      <c r="D34" s="33"/>
      <c r="F34" s="53"/>
    </row>
    <row r="35" ht="16" customHeight="1" spans="2:6">
      <c r="B35" s="35" t="s">
        <v>320</v>
      </c>
      <c r="C35" s="35" t="s">
        <v>321</v>
      </c>
      <c r="D35" s="33"/>
      <c r="F35" s="53"/>
    </row>
    <row r="36" ht="16" customHeight="1" spans="2:6">
      <c r="B36" s="35" t="s">
        <v>322</v>
      </c>
      <c r="C36" s="35">
        <v>2000511791</v>
      </c>
      <c r="D36" s="33"/>
      <c r="F36" s="53"/>
    </row>
    <row r="37" ht="16" customHeight="1" spans="2:6">
      <c r="B37" s="35" t="s">
        <v>323</v>
      </c>
      <c r="C37" s="35" t="s">
        <v>324</v>
      </c>
      <c r="D37" s="33"/>
      <c r="F37" s="53"/>
    </row>
    <row r="38" spans="6:6">
      <c r="F38" s="53"/>
    </row>
    <row r="39" spans="6:6">
      <c r="F39" s="53"/>
    </row>
    <row r="40" spans="6:6">
      <c r="F40" s="53"/>
    </row>
    <row r="42" ht="7" customHeight="1"/>
    <row r="45" ht="7" customHeight="1"/>
    <row r="46" ht="1" customHeight="1"/>
    <row r="49" ht="8" customHeight="1"/>
    <row r="63" spans="3:3">
      <c r="C63" s="36"/>
    </row>
  </sheetData>
  <mergeCells count="8">
    <mergeCell ref="B16:C16"/>
    <mergeCell ref="B28:B30"/>
    <mergeCell ref="D18:D27"/>
    <mergeCell ref="E18:E27"/>
    <mergeCell ref="F18:F27"/>
    <mergeCell ref="C28:D30"/>
    <mergeCell ref="C7:D8"/>
    <mergeCell ref="C11:D12"/>
  </mergeCells>
  <conditionalFormatting sqref="B7">
    <cfRule type="expression" dxfId="1" priority="2">
      <formula>$C$7="N/A"</formula>
    </cfRule>
  </conditionalFormatting>
  <conditionalFormatting sqref="B10:C10">
    <cfRule type="expression" dxfId="1" priority="1">
      <formula>$C$10="N/A"</formula>
    </cfRule>
  </conditionalFormatting>
  <dataValidations count="1">
    <dataValidation type="list" allowBlank="1" showInputMessage="1" showErrorMessage="1" sqref="F8">
      <formula1>DATA!$C$2:$C$53</formula1>
    </dataValidation>
  </dataValidations>
  <pageMargins left="0.25" right="0.25" top="0.75" bottom="0.75" header="0.3" footer="0.3"/>
  <pageSetup paperSize="9" scale="84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>
    <pageSetUpPr fitToPage="1"/>
  </sheetPr>
  <dimension ref="B1:K63"/>
  <sheetViews>
    <sheetView zoomScale="141" zoomScaleNormal="141" topLeftCell="A28" workbookViewId="0">
      <selection activeCell="C11" sqref="C11:D12"/>
    </sheetView>
  </sheetViews>
  <sheetFormatPr defaultColWidth="8.8359375" defaultRowHeight="16.8"/>
  <cols>
    <col min="1" max="1" width="3.3359375" style="2" customWidth="1"/>
    <col min="2" max="2" width="20.5" style="2" customWidth="1"/>
    <col min="3" max="3" width="29.1640625" style="2" customWidth="1"/>
    <col min="4" max="4" width="14.8359375" style="2" customWidth="1"/>
    <col min="5" max="5" width="16.5" style="2" customWidth="1"/>
    <col min="6" max="6" width="21.5" style="2" customWidth="1"/>
    <col min="7" max="7" width="3.5" style="2" customWidth="1"/>
    <col min="8" max="8" width="8.8359375" style="2"/>
    <col min="9" max="9" width="14.6640625" style="2" customWidth="1"/>
    <col min="10" max="10" width="8.8359375" style="2"/>
    <col min="11" max="11" width="13.6640625" style="2" customWidth="1"/>
    <col min="12" max="12" width="8.8359375" style="2"/>
    <col min="13" max="13" width="96.1640625" style="2" customWidth="1"/>
    <col min="14" max="16384" width="8.8359375" style="2"/>
  </cols>
  <sheetData>
    <row r="1" ht="5" customHeight="1"/>
    <row r="2" ht="14.5" customHeight="1"/>
    <row r="3" ht="14.5" customHeight="1"/>
    <row r="4" ht="14.5" customHeight="1"/>
    <row r="5" ht="14.5" customHeight="1"/>
    <row r="7" ht="15" customHeight="1" spans="2:6">
      <c r="B7" s="3"/>
      <c r="C7" s="4"/>
      <c r="D7" s="4"/>
      <c r="F7" s="37" t="e">
        <f>_xlfn.XLOOKUP(F8,DATA!C2:C53,DATA!Q2:Q53)</f>
        <v>#N/A</v>
      </c>
    </row>
    <row r="8" ht="14.5" customHeight="1" spans="2:6">
      <c r="B8" s="5"/>
      <c r="C8" s="4"/>
      <c r="D8" s="4"/>
      <c r="E8" s="6" t="s">
        <v>294</v>
      </c>
      <c r="F8" s="38" t="s">
        <v>328</v>
      </c>
    </row>
    <row r="9" spans="2:11">
      <c r="B9" s="6" t="s">
        <v>295</v>
      </c>
      <c r="C9" s="6" t="e">
        <f>_xlfn.XLOOKUP(F8,DATA!C2:C53,DATA!L2:L53)</f>
        <v>#N/A</v>
      </c>
      <c r="F9" s="6"/>
      <c r="K9" s="54"/>
    </row>
    <row r="10" s="1" customFormat="1" spans="2:11">
      <c r="B10" s="6"/>
      <c r="C10" s="6"/>
      <c r="D10" s="7"/>
      <c r="I10" s="37"/>
      <c r="K10" s="55"/>
    </row>
    <row r="11" ht="15" customHeight="1" spans="2:4">
      <c r="B11" s="3" t="s">
        <v>297</v>
      </c>
      <c r="C11" s="4" t="e">
        <f>_xlfn.XLOOKUP(F8,DATA!C2:C53,DATA!T2:T53)</f>
        <v>#N/A</v>
      </c>
      <c r="D11" s="4"/>
    </row>
    <row r="12" spans="2:11">
      <c r="B12" s="8"/>
      <c r="C12" s="4"/>
      <c r="D12" s="4"/>
      <c r="I12" s="6"/>
      <c r="K12" s="54"/>
    </row>
    <row r="13" spans="2:11">
      <c r="B13" s="6" t="s">
        <v>298</v>
      </c>
      <c r="C13" s="6" t="e">
        <f>UPPER(TEXT(F7,"mmm ")&amp;DAY(F7)&amp;IF(AND(MOD(DAY(F7),100)&gt;=11,MOD(DAY(F7),100)&lt;=13),"TH",CHOOSE(MOD(DAY(F7),10)+1,"TH","ST","ND","RD","TH","TH","TH","TH","TH","TH"))&amp;" "&amp;TEXT(F7,"yyyy"))</f>
        <v>#N/A</v>
      </c>
      <c r="I13"/>
      <c r="K13" s="56"/>
    </row>
    <row r="14" spans="2:11">
      <c r="B14" s="9"/>
      <c r="C14" s="9"/>
      <c r="K14" s="57"/>
    </row>
    <row r="15" ht="17.55" spans="11:11">
      <c r="K15" s="58"/>
    </row>
    <row r="16" ht="30" customHeight="1" spans="2:11">
      <c r="B16" s="10" t="s">
        <v>299</v>
      </c>
      <c r="C16" s="11"/>
      <c r="D16" s="12" t="s">
        <v>300</v>
      </c>
      <c r="E16" s="39" t="s">
        <v>301</v>
      </c>
      <c r="F16" s="40" t="s">
        <v>302</v>
      </c>
      <c r="K16" s="59"/>
    </row>
    <row r="17" ht="10" customHeight="1" spans="2:6">
      <c r="B17" s="1"/>
      <c r="C17" s="1"/>
      <c r="D17" s="1"/>
      <c r="E17" s="1"/>
      <c r="F17" s="1"/>
    </row>
    <row r="18" ht="16" customHeight="1" spans="2:11">
      <c r="B18" s="13" t="s">
        <v>303</v>
      </c>
      <c r="C18" s="14" t="s">
        <v>304</v>
      </c>
      <c r="D18" s="15">
        <v>1</v>
      </c>
      <c r="E18" s="41" t="e">
        <f>_xlfn.XLOOKUP(F8,DATA!C2:C53,DATA!N2:N53)</f>
        <v>#N/A</v>
      </c>
      <c r="F18" s="42" t="e">
        <f>D18*E18</f>
        <v>#N/A</v>
      </c>
      <c r="K18" s="59"/>
    </row>
    <row r="19" ht="16" customHeight="1" spans="2:6">
      <c r="B19" s="16" t="s">
        <v>305</v>
      </c>
      <c r="C19" s="17" t="e">
        <f>_xlfn.XLOOKUP(F8,DATA!C2:C53,DATA!D2:D53)</f>
        <v>#N/A</v>
      </c>
      <c r="D19" s="18"/>
      <c r="E19" s="43"/>
      <c r="F19" s="44"/>
    </row>
    <row r="20" ht="16" customHeight="1" spans="2:11">
      <c r="B20" s="16" t="s">
        <v>306</v>
      </c>
      <c r="C20" s="17" t="e">
        <f>_xlfn.XLOOKUP(F8,DATA!C2:C53,DATA!M2:M53)</f>
        <v>#N/A</v>
      </c>
      <c r="D20" s="18"/>
      <c r="E20" s="43"/>
      <c r="F20" s="44"/>
      <c r="K20" s="59"/>
    </row>
    <row r="21" ht="16" customHeight="1" spans="2:6">
      <c r="B21" s="19" t="s">
        <v>307</v>
      </c>
      <c r="C21" s="80" t="s">
        <v>308</v>
      </c>
      <c r="D21" s="18"/>
      <c r="E21" s="43"/>
      <c r="F21" s="44"/>
    </row>
    <row r="22" ht="16" customHeight="1" spans="2:9">
      <c r="B22" s="16" t="s">
        <v>309</v>
      </c>
      <c r="C22" s="17" t="s">
        <v>310</v>
      </c>
      <c r="D22" s="18"/>
      <c r="E22" s="43"/>
      <c r="F22" s="44"/>
      <c r="I22" s="60"/>
    </row>
    <row r="23" ht="16" hidden="1" customHeight="1" spans="2:9">
      <c r="B23" s="16" t="s">
        <v>311</v>
      </c>
      <c r="C23" s="17" t="e">
        <f>_xlfn.TRANSLATE(_xlfn.XLOOKUP(F8,DATA!C2:C51,DATA!I2:I51))</f>
        <v>#N/A</v>
      </c>
      <c r="D23" s="18"/>
      <c r="E23" s="43"/>
      <c r="F23" s="44"/>
      <c r="I23" s="60"/>
    </row>
    <row r="24" ht="16" hidden="1" customHeight="1" spans="2:9">
      <c r="B24" s="16" t="s">
        <v>312</v>
      </c>
      <c r="C24" s="17" t="e">
        <f>_xlfn.XLOOKUP(F8,DATA!C2:C51,DATA!J2:J51)</f>
        <v>#N/A</v>
      </c>
      <c r="D24" s="18"/>
      <c r="E24" s="43"/>
      <c r="F24" s="44"/>
      <c r="I24" s="60"/>
    </row>
    <row r="25" ht="16" customHeight="1" spans="2:6">
      <c r="B25" s="16" t="s">
        <v>313</v>
      </c>
      <c r="C25" s="17" t="s">
        <v>314</v>
      </c>
      <c r="D25" s="18"/>
      <c r="E25" s="43"/>
      <c r="F25" s="44"/>
    </row>
    <row r="26" ht="16" customHeight="1" spans="2:6">
      <c r="B26" s="16" t="s">
        <v>6</v>
      </c>
      <c r="C26" s="21" t="e">
        <f>_xlfn.XLOOKUP(F8,DATA!C2:C53,DATA!G2:G53)</f>
        <v>#N/A</v>
      </c>
      <c r="D26" s="18"/>
      <c r="E26" s="43"/>
      <c r="F26" s="44"/>
    </row>
    <row r="27" ht="16" customHeight="1" spans="2:6">
      <c r="B27" s="16" t="s">
        <v>315</v>
      </c>
      <c r="C27" s="22" t="e">
        <f>_xlfn.XLOOKUP(F8,DATA!C2:C53,DATA!H2:H53)</f>
        <v>#N/A</v>
      </c>
      <c r="D27" s="18"/>
      <c r="E27" s="45"/>
      <c r="F27" s="44"/>
    </row>
    <row r="28" ht="20" customHeight="1" spans="2:9">
      <c r="B28" s="23" t="s">
        <v>316</v>
      </c>
      <c r="C28" s="24" t="e" cm="1">
        <f t="array" ref="C28">UPPER(SpellRupees(F28))</f>
        <v>#VALUE!</v>
      </c>
      <c r="D28" s="25"/>
      <c r="E28" s="46" t="s">
        <v>317</v>
      </c>
      <c r="F28" s="47" t="e">
        <f>SUBTOTAL(9,F18)</f>
        <v>#N/A</v>
      </c>
      <c r="H28" s="48"/>
      <c r="I28" s="60"/>
    </row>
    <row r="29" ht="20" customHeight="1" spans="2:9">
      <c r="B29" s="26"/>
      <c r="C29" s="27"/>
      <c r="D29" s="28"/>
      <c r="E29" s="49" t="s">
        <v>329</v>
      </c>
      <c r="F29" s="50" t="e">
        <f>F28-F30</f>
        <v>#N/A</v>
      </c>
      <c r="I29" s="61"/>
    </row>
    <row r="30" ht="20" customHeight="1" spans="2:9">
      <c r="B30" s="29"/>
      <c r="C30" s="30"/>
      <c r="D30" s="31"/>
      <c r="E30" s="51" t="s">
        <v>302</v>
      </c>
      <c r="F30" s="52" t="e">
        <f>_xlfn.XLOOKUP(F8,DATA!C2:C53,DATA!W2:W53)</f>
        <v>#N/A</v>
      </c>
      <c r="I30" s="60"/>
    </row>
    <row r="31" ht="17.6" spans="2:6">
      <c r="B31" s="32"/>
      <c r="C31" s="33"/>
      <c r="D31" s="33"/>
      <c r="F31" s="53"/>
    </row>
    <row r="32" ht="17.6" spans="2:9">
      <c r="B32" s="32"/>
      <c r="C32" s="33"/>
      <c r="D32" s="33"/>
      <c r="F32" s="53"/>
      <c r="I32" s="62"/>
    </row>
    <row r="33" ht="16" customHeight="1" spans="2:9">
      <c r="B33" s="34" t="s">
        <v>319</v>
      </c>
      <c r="C33" s="33"/>
      <c r="D33" s="33"/>
      <c r="F33" s="53"/>
      <c r="I33" s="60"/>
    </row>
    <row r="34" ht="17.6" spans="2:6">
      <c r="B34" s="32"/>
      <c r="C34" s="33"/>
      <c r="D34" s="33"/>
      <c r="F34" s="53"/>
    </row>
    <row r="35" ht="16" customHeight="1" spans="2:6">
      <c r="B35" s="35" t="s">
        <v>320</v>
      </c>
      <c r="C35" s="35" t="s">
        <v>321</v>
      </c>
      <c r="D35" s="33"/>
      <c r="F35" s="53"/>
    </row>
    <row r="36" ht="16" customHeight="1" spans="2:6">
      <c r="B36" s="35" t="s">
        <v>322</v>
      </c>
      <c r="C36" s="35">
        <v>2000511791</v>
      </c>
      <c r="D36" s="33"/>
      <c r="F36" s="53"/>
    </row>
    <row r="37" ht="16" customHeight="1" spans="2:6">
      <c r="B37" s="35" t="s">
        <v>323</v>
      </c>
      <c r="C37" s="35" t="s">
        <v>324</v>
      </c>
      <c r="D37" s="33"/>
      <c r="F37" s="53"/>
    </row>
    <row r="38" spans="6:6">
      <c r="F38" s="53"/>
    </row>
    <row r="39" spans="6:6">
      <c r="F39" s="53"/>
    </row>
    <row r="40" spans="6:6">
      <c r="F40" s="53"/>
    </row>
    <row r="42" ht="7" customHeight="1"/>
    <row r="45" ht="7" customHeight="1"/>
    <row r="46" ht="1" customHeight="1"/>
    <row r="49" ht="8" customHeight="1"/>
    <row r="63" spans="3:3">
      <c r="C63" s="36"/>
    </row>
  </sheetData>
  <mergeCells count="8">
    <mergeCell ref="B16:C16"/>
    <mergeCell ref="B28:B30"/>
    <mergeCell ref="D18:D27"/>
    <mergeCell ref="E18:E27"/>
    <mergeCell ref="F18:F27"/>
    <mergeCell ref="C28:D30"/>
    <mergeCell ref="C7:D8"/>
    <mergeCell ref="C11:D12"/>
  </mergeCells>
  <conditionalFormatting sqref="B7">
    <cfRule type="expression" dxfId="1" priority="2">
      <formula>$C$7="N/A"</formula>
    </cfRule>
  </conditionalFormatting>
  <conditionalFormatting sqref="B10:C10">
    <cfRule type="expression" dxfId="1" priority="1">
      <formula>$C$10="N/A"</formula>
    </cfRule>
  </conditionalFormatting>
  <dataValidations count="1">
    <dataValidation type="list" allowBlank="1" showInputMessage="1" showErrorMessage="1" sqref="F8">
      <formula1>DATA!$C$2:$C$53</formula1>
    </dataValidation>
  </dataValidations>
  <pageMargins left="0.25" right="0.25" top="0.75" bottom="0.75" header="0.3" footer="0.3"/>
  <pageSetup paperSize="9" scale="84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ZZYT</Company>
  <Application>Microsoft Macintosh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DATA</vt:lpstr>
      <vt:lpstr>P INV </vt:lpstr>
      <vt:lpstr>Final  INV</vt:lpstr>
      <vt:lpstr>Final  INV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高岭</dc:creator>
  <cp:lastModifiedBy>abi work</cp:lastModifiedBy>
  <dcterms:created xsi:type="dcterms:W3CDTF">2025-05-12T23:54:00Z</dcterms:created>
  <cp:lastPrinted>2026-02-02T18:06:00Z</cp:lastPrinted>
  <dcterms:modified xsi:type="dcterms:W3CDTF">2026-03-31T09:29:49Z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6117F11E01370CB2B546CB6999E050E2_43</vt:lpwstr>
  </property>
  <property fmtid="{D5CDD505-2E9C-101B-9397-08002B2CF9AE}" pid="3" name="KSOProductBuildVer">
    <vt:lpwstr>1033-12.1.23155.23155</vt:lpwstr>
  </property>
</Properties>
</file>